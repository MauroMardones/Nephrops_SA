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uriciomardones/IEO/Nephrops_SA/data/"/>
    </mc:Choice>
  </mc:AlternateContent>
  <xr:revisionPtr revIDLastSave="0" documentId="13_ncr:1_{0BBF15CE-8286-E84A-BE52-27021F449E3B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J35" i="1"/>
  <c r="G35" i="1"/>
  <c r="I33" i="1" s="1"/>
  <c r="F35" i="1"/>
  <c r="H29" i="1" s="1"/>
  <c r="B35" i="1"/>
  <c r="E33" i="1" s="1"/>
  <c r="M34" i="1"/>
  <c r="L34" i="1"/>
  <c r="M33" i="1"/>
  <c r="L33" i="1"/>
  <c r="H33" i="1"/>
  <c r="M32" i="1"/>
  <c r="L32" i="1"/>
  <c r="I32" i="1"/>
  <c r="E32" i="1"/>
  <c r="M31" i="1"/>
  <c r="L31" i="1"/>
  <c r="E31" i="1"/>
  <c r="M30" i="1"/>
  <c r="L30" i="1"/>
  <c r="E29" i="1"/>
  <c r="M28" i="1"/>
  <c r="L28" i="1"/>
  <c r="H28" i="1"/>
  <c r="E28" i="1"/>
  <c r="M27" i="1"/>
  <c r="L27" i="1"/>
  <c r="I27" i="1"/>
  <c r="E27" i="1"/>
  <c r="M26" i="1"/>
  <c r="L26" i="1"/>
  <c r="E26" i="1"/>
  <c r="M25" i="1"/>
  <c r="L25" i="1"/>
  <c r="E25" i="1"/>
  <c r="E24" i="1"/>
  <c r="I23" i="1"/>
  <c r="E23" i="1"/>
  <c r="H22" i="1"/>
  <c r="E22" i="1"/>
  <c r="E21" i="1"/>
  <c r="E20" i="1"/>
  <c r="I19" i="1"/>
  <c r="E18" i="1"/>
  <c r="E17" i="1"/>
  <c r="I16" i="1"/>
  <c r="E16" i="1"/>
  <c r="H15" i="1"/>
  <c r="E15" i="1"/>
  <c r="E14" i="1"/>
  <c r="E13" i="1"/>
  <c r="I11" i="1"/>
  <c r="H11" i="1"/>
  <c r="E11" i="1"/>
  <c r="H10" i="1"/>
  <c r="E10" i="1"/>
  <c r="E9" i="1"/>
  <c r="I8" i="1"/>
  <c r="H7" i="1"/>
  <c r="E7" i="1"/>
  <c r="E6" i="1"/>
  <c r="I5" i="1"/>
  <c r="E5" i="1"/>
  <c r="E3" i="1"/>
  <c r="I2" i="1"/>
  <c r="E2" i="1"/>
  <c r="I17" i="1" l="1"/>
  <c r="H23" i="1"/>
  <c r="I26" i="1"/>
  <c r="H27" i="1"/>
  <c r="I31" i="1"/>
  <c r="H2" i="1"/>
  <c r="H5" i="1"/>
  <c r="I6" i="1"/>
  <c r="H8" i="1"/>
  <c r="I9" i="1"/>
  <c r="H13" i="1"/>
  <c r="I14" i="1"/>
  <c r="H17" i="1"/>
  <c r="I18" i="1"/>
  <c r="H20" i="1"/>
  <c r="I21" i="1"/>
  <c r="H24" i="1"/>
  <c r="I25" i="1"/>
  <c r="H26" i="1"/>
  <c r="I29" i="1"/>
  <c r="H31" i="1"/>
  <c r="I13" i="1"/>
  <c r="H16" i="1"/>
  <c r="H19" i="1"/>
  <c r="I20" i="1"/>
  <c r="I24" i="1"/>
  <c r="H32" i="1"/>
  <c r="H6" i="1"/>
  <c r="I7" i="1"/>
  <c r="H9" i="1"/>
  <c r="I10" i="1"/>
  <c r="H14" i="1"/>
  <c r="I15" i="1"/>
  <c r="H18" i="1"/>
  <c r="H21" i="1"/>
  <c r="I22" i="1"/>
  <c r="H25" i="1"/>
  <c r="I28" i="1"/>
</calcChain>
</file>

<file path=xl/sharedStrings.xml><?xml version="1.0" encoding="utf-8"?>
<sst xmlns="http://schemas.openxmlformats.org/spreadsheetml/2006/main" count="14" uniqueCount="14">
  <si>
    <t>Year</t>
  </si>
  <si>
    <t xml:space="preserve">ARSA </t>
  </si>
  <si>
    <t>ARSA_Varianza</t>
  </si>
  <si>
    <t>ARSA_Error tipico</t>
  </si>
  <si>
    <t>ARSA_normalized</t>
  </si>
  <si>
    <t>ARSA_std_model Casper</t>
  </si>
  <si>
    <t>ARSA_CV_std_model Casper</t>
  </si>
  <si>
    <t>ARSA_std_Model Casper_normalized</t>
  </si>
  <si>
    <t>ARSA_CV_std_norm</t>
  </si>
  <si>
    <t>isunepca_bio</t>
  </si>
  <si>
    <t>CV_isunepca_bio</t>
  </si>
  <si>
    <t>isunepca_normalizada</t>
  </si>
  <si>
    <t>Media</t>
  </si>
  <si>
    <t>CV_isunepca_bio_norm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</si>
</sst>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2" fontId="0" fillId="2" borderId="0" xfId="0" applyNumberFormat="1" applyFill="1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0" fillId="3" borderId="0" xfId="0" applyFill="1"/>
    <xf numFmtId="2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'[1]ARSA survey'!$B$1</c:f>
              <c:strCache>
                <c:ptCount val="1"/>
                <c:pt idx="0">
                  <c:v>ARSA 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survey'!$B$2:$B$33</c:f>
              <c:numCache>
                <c:formatCode>General</c:formatCode>
                <c:ptCount val="32"/>
                <c:pt idx="0">
                  <c:v>0.93177118740086118</c:v>
                </c:pt>
                <c:pt idx="1">
                  <c:v>0.9599804554724678</c:v>
                </c:pt>
                <c:pt idx="3">
                  <c:v>0.89048734543517016</c:v>
                </c:pt>
                <c:pt idx="4">
                  <c:v>0.34396419669159306</c:v>
                </c:pt>
                <c:pt idx="5">
                  <c:v>0.32505132562882388</c:v>
                </c:pt>
                <c:pt idx="7">
                  <c:v>0.37101404939950144</c:v>
                </c:pt>
                <c:pt idx="8">
                  <c:v>0.44275254928619984</c:v>
                </c:pt>
                <c:pt idx="9">
                  <c:v>0.39318709332815382</c:v>
                </c:pt>
                <c:pt idx="11">
                  <c:v>0.1516002719238613</c:v>
                </c:pt>
                <c:pt idx="12">
                  <c:v>0.63390876062899104</c:v>
                </c:pt>
                <c:pt idx="13">
                  <c:v>0.41714434624971675</c:v>
                </c:pt>
                <c:pt idx="14">
                  <c:v>0.35791088385682984</c:v>
                </c:pt>
                <c:pt idx="15">
                  <c:v>0.85028076138681175</c:v>
                </c:pt>
                <c:pt idx="16">
                  <c:v>0.47662802485479505</c:v>
                </c:pt>
                <c:pt idx="18">
                  <c:v>0.23577906186267841</c:v>
                </c:pt>
                <c:pt idx="19">
                  <c:v>0.18133401314298664</c:v>
                </c:pt>
                <c:pt idx="20">
                  <c:v>0.79454248810333106</c:v>
                </c:pt>
                <c:pt idx="21">
                  <c:v>1.9214575118966688</c:v>
                </c:pt>
                <c:pt idx="22">
                  <c:v>1.2688084790804028</c:v>
                </c:pt>
                <c:pt idx="23">
                  <c:v>2.7337495828440761</c:v>
                </c:pt>
                <c:pt idx="24">
                  <c:v>1.6701857734379826</c:v>
                </c:pt>
                <c:pt idx="25">
                  <c:v>0.38155476587767545</c:v>
                </c:pt>
                <c:pt idx="26">
                  <c:v>1.3424154254990419</c:v>
                </c:pt>
                <c:pt idx="27">
                  <c:v>6.1595910944935417</c:v>
                </c:pt>
                <c:pt idx="29">
                  <c:v>0.25096329027872194</c:v>
                </c:pt>
                <c:pt idx="30">
                  <c:v>0.67425186947654658</c:v>
                </c:pt>
                <c:pt idx="31">
                  <c:v>4.0763432420740378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4-6D46-AED6-0B7109C7F21E}"/>
            </c:ext>
          </c:extLst>
        </c:ser>
        <c:ser>
          <c:idx val="1"/>
          <c:order val="1"/>
          <c:tx>
            <c:strRef>
              <c:f>'[1]ARSA survey'!$F$1</c:f>
              <c:strCache>
                <c:ptCount val="1"/>
                <c:pt idx="0">
                  <c:v>ARSA_std_model Casper</c:v>
                </c:pt>
              </c:strCache>
            </c:strRef>
          </c:tx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survey'!$F$2:$F$34</c:f>
              <c:numCache>
                <c:formatCode>General</c:formatCode>
                <c:ptCount val="33"/>
                <c:pt idx="0">
                  <c:v>0.987687135310505</c:v>
                </c:pt>
                <c:pt idx="3">
                  <c:v>0.58619003394221791</c:v>
                </c:pt>
                <c:pt idx="4">
                  <c:v>0.36706897155611601</c:v>
                </c:pt>
                <c:pt idx="5">
                  <c:v>0.19184941507802</c:v>
                </c:pt>
                <c:pt idx="6">
                  <c:v>0.58610428076207599</c:v>
                </c:pt>
                <c:pt idx="7">
                  <c:v>0.54496447414245097</c:v>
                </c:pt>
                <c:pt idx="8">
                  <c:v>0.60886059249519309</c:v>
                </c:pt>
                <c:pt idx="9">
                  <c:v>0.84969773732239506</c:v>
                </c:pt>
                <c:pt idx="11">
                  <c:v>0.39587089664303604</c:v>
                </c:pt>
                <c:pt idx="12">
                  <c:v>0.94198055967161998</c:v>
                </c:pt>
                <c:pt idx="13">
                  <c:v>0.68347081871722293</c:v>
                </c:pt>
                <c:pt idx="14">
                  <c:v>0.599421788438671</c:v>
                </c:pt>
                <c:pt idx="15">
                  <c:v>1.0795141399883801</c:v>
                </c:pt>
                <c:pt idx="16">
                  <c:v>0.42707442709747001</c:v>
                </c:pt>
                <c:pt idx="17">
                  <c:v>1.3660371813932699</c:v>
                </c:pt>
                <c:pt idx="18">
                  <c:v>0.5952162944064201</c:v>
                </c:pt>
                <c:pt idx="19">
                  <c:v>0.32483927186720002</c:v>
                </c:pt>
                <c:pt idx="20">
                  <c:v>0.46202335567258596</c:v>
                </c:pt>
                <c:pt idx="21">
                  <c:v>1.5304473339293398</c:v>
                </c:pt>
                <c:pt idx="22">
                  <c:v>2.2382149461589003</c:v>
                </c:pt>
                <c:pt idx="23">
                  <c:v>3.9783874920349098</c:v>
                </c:pt>
                <c:pt idx="24">
                  <c:v>1.8935208160716499</c:v>
                </c:pt>
                <c:pt idx="25">
                  <c:v>0.60233053980641205</c:v>
                </c:pt>
                <c:pt idx="26">
                  <c:v>2.5669860461931497</c:v>
                </c:pt>
                <c:pt idx="27">
                  <c:v>6.9161497884113796</c:v>
                </c:pt>
                <c:pt idx="29">
                  <c:v>0.32881100520864198</c:v>
                </c:pt>
                <c:pt idx="30">
                  <c:v>0.76881941889166006</c:v>
                </c:pt>
                <c:pt idx="31">
                  <c:v>3.0396394796627502</c:v>
                </c:pt>
                <c:pt idx="32">
                  <c:v>1.2664706514597732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4-6D46-AED6-0B7109C7F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79232"/>
        <c:axId val="90080768"/>
      </c:lineChart>
      <c:catAx>
        <c:axId val="9007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ES"/>
          </a:p>
        </c:txPr>
        <c:crossAx val="90080768"/>
        <c:crosses val="autoZero"/>
        <c:auto val="1"/>
        <c:lblAlgn val="ctr"/>
        <c:lblOffset val="100"/>
        <c:noMultiLvlLbl val="0"/>
      </c:catAx>
      <c:valAx>
        <c:axId val="9008076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IBTS ARSA Index 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9007923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'[1]ARSA survey'!$E$1</c:f>
              <c:strCache>
                <c:ptCount val="1"/>
                <c:pt idx="0">
                  <c:v>ARSA_normalized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survey'!$E$2:$E$33</c:f>
              <c:numCache>
                <c:formatCode>General</c:formatCode>
                <c:ptCount val="32"/>
                <c:pt idx="0">
                  <c:v>0.86048898575312283</c:v>
                </c:pt>
                <c:pt idx="1">
                  <c:v>0.88654019317399768</c:v>
                </c:pt>
                <c:pt idx="3">
                  <c:v>0.82236343327693684</c:v>
                </c:pt>
                <c:pt idx="4">
                  <c:v>0.31765030594276455</c:v>
                </c:pt>
                <c:pt idx="5">
                  <c:v>0.30018430414045683</c:v>
                </c:pt>
                <c:pt idx="7">
                  <c:v>0.34263079539782831</c:v>
                </c:pt>
                <c:pt idx="8">
                  <c:v>0.40888116871013208</c:v>
                </c:pt>
                <c:pt idx="9">
                  <c:v>0.36310756087331753</c:v>
                </c:pt>
                <c:pt idx="11">
                  <c:v>0.14000257358412976</c:v>
                </c:pt>
                <c:pt idx="12">
                  <c:v>0.58541357993181864</c:v>
                </c:pt>
                <c:pt idx="13">
                  <c:v>0.38523204008737361</c:v>
                </c:pt>
                <c:pt idx="14">
                  <c:v>0.33053004600739022</c:v>
                </c:pt>
                <c:pt idx="15">
                  <c:v>0.78523272651525056</c:v>
                </c:pt>
                <c:pt idx="16">
                  <c:v>0.44016510838124007</c:v>
                </c:pt>
                <c:pt idx="18">
                  <c:v>0.21774153198488505</c:v>
                </c:pt>
                <c:pt idx="19">
                  <c:v>0.16746162916585566</c:v>
                </c:pt>
                <c:pt idx="20">
                  <c:v>0.73375853317909334</c:v>
                </c:pt>
                <c:pt idx="21">
                  <c:v>1.7744624945870646</c:v>
                </c:pt>
                <c:pt idx="22">
                  <c:v>1.1717423075984772</c:v>
                </c:pt>
                <c:pt idx="23">
                  <c:v>2.5246127350281573</c:v>
                </c:pt>
                <c:pt idx="24">
                  <c:v>1.5424135041285096</c:v>
                </c:pt>
                <c:pt idx="25">
                  <c:v>0.35236512776832807</c:v>
                </c:pt>
                <c:pt idx="26">
                  <c:v>1.2397181878624268</c:v>
                </c:pt>
                <c:pt idx="27">
                  <c:v>5.6883710992819827</c:v>
                </c:pt>
                <c:pt idx="29">
                  <c:v>0.23176413912904001</c:v>
                </c:pt>
                <c:pt idx="30">
                  <c:v>0.62267036709562484</c:v>
                </c:pt>
                <c:pt idx="31">
                  <c:v>3.7644955214147924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16-FF4F-8235-BD966EEBA705}"/>
            </c:ext>
          </c:extLst>
        </c:ser>
        <c:ser>
          <c:idx val="1"/>
          <c:order val="1"/>
          <c:tx>
            <c:strRef>
              <c:f>'[1]ARSA survey'!$H$1</c:f>
              <c:strCache>
                <c:ptCount val="1"/>
                <c:pt idx="0">
                  <c:v>ARSA_std_Model Casper_normalized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survey'!$H$2:$H$33</c:f>
              <c:numCache>
                <c:formatCode>General</c:formatCode>
                <c:ptCount val="32"/>
                <c:pt idx="0">
                  <c:v>0.7798736861150839</c:v>
                </c:pt>
                <c:pt idx="3">
                  <c:v>0.46285323174805287</c:v>
                </c:pt>
                <c:pt idx="4">
                  <c:v>0.28983614514321432</c:v>
                </c:pt>
                <c:pt idx="5">
                  <c:v>0.15148350643332195</c:v>
                </c:pt>
                <c:pt idx="6">
                  <c:v>0.46278552139089374</c:v>
                </c:pt>
                <c:pt idx="7">
                  <c:v>0.43030169985724348</c:v>
                </c:pt>
                <c:pt idx="8">
                  <c:v>0.48075381122602528</c:v>
                </c:pt>
                <c:pt idx="9">
                  <c:v>0.67091782690977264</c:v>
                </c:pt>
                <c:pt idx="11">
                  <c:v>0.31257802633384596</c:v>
                </c:pt>
                <c:pt idx="12">
                  <c:v>0.74378396260968549</c:v>
                </c:pt>
                <c:pt idx="13">
                  <c:v>0.53966573795408002</c:v>
                </c:pt>
                <c:pt idx="14">
                  <c:v>0.4733009704944674</c:v>
                </c:pt>
                <c:pt idx="15">
                  <c:v>0.85237991006273905</c:v>
                </c:pt>
                <c:pt idx="16">
                  <c:v>0.33721620521187035</c:v>
                </c:pt>
                <c:pt idx="17">
                  <c:v>1.0786173211505006</c:v>
                </c:pt>
                <c:pt idx="18">
                  <c:v>0.46998032976157433</c:v>
                </c:pt>
                <c:pt idx="19">
                  <c:v>0.25649174853975515</c:v>
                </c:pt>
                <c:pt idx="20">
                  <c:v>0.36481173498970826</c:v>
                </c:pt>
                <c:pt idx="21">
                  <c:v>1.2084348991153477</c:v>
                </c:pt>
                <c:pt idx="22">
                  <c:v>1.7672852849602669</c:v>
                </c:pt>
                <c:pt idx="23">
                  <c:v>3.1413183459476914</c:v>
                </c:pt>
                <c:pt idx="24">
                  <c:v>1.4951162223057592</c:v>
                </c:pt>
                <c:pt idx="25">
                  <c:v>0.47559770857078071</c:v>
                </c:pt>
                <c:pt idx="26">
                  <c:v>2.0268815887950993</c:v>
                </c:pt>
                <c:pt idx="27">
                  <c:v>5.4609633317910777</c:v>
                </c:pt>
                <c:pt idx="29">
                  <c:v>0.25962781279585456</c:v>
                </c:pt>
                <c:pt idx="30">
                  <c:v>0.60705664044049901</c:v>
                </c:pt>
                <c:pt idx="31">
                  <c:v>2.4000867893457838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16-FF4F-8235-BD966EEBA705}"/>
            </c:ext>
          </c:extLst>
        </c:ser>
        <c:ser>
          <c:idx val="2"/>
          <c:order val="2"/>
          <c:tx>
            <c:strRef>
              <c:f>'[1]ARSA survey'!$L$1</c:f>
              <c:strCache>
                <c:ptCount val="1"/>
                <c:pt idx="0">
                  <c:v>isunepca_normalizada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'[1]ARSA survey'!$L$2:$L$33</c:f>
              <c:numCache>
                <c:formatCode>General</c:formatCode>
                <c:ptCount val="32"/>
                <c:pt idx="23">
                  <c:v>1.1162105568038025</c:v>
                </c:pt>
                <c:pt idx="24">
                  <c:v>0.86611476147655764</c:v>
                </c:pt>
                <c:pt idx="25">
                  <c:v>1.1290788241477159</c:v>
                </c:pt>
                <c:pt idx="26">
                  <c:v>1.7104377155247144</c:v>
                </c:pt>
                <c:pt idx="28">
                  <c:v>1.2472901452289988</c:v>
                </c:pt>
                <c:pt idx="29">
                  <c:v>0.78055958397033343</c:v>
                </c:pt>
                <c:pt idx="30">
                  <c:v>0.76332434423046136</c:v>
                </c:pt>
                <c:pt idx="31">
                  <c:v>0.85258835188723636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16-FF4F-8235-BD966EEBA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221184"/>
        <c:axId val="90235264"/>
      </c:lineChart>
      <c:catAx>
        <c:axId val="9022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ES"/>
          </a:p>
        </c:txPr>
        <c:crossAx val="90235264"/>
        <c:crosses val="autoZero"/>
        <c:auto val="1"/>
        <c:lblAlgn val="ctr"/>
        <c:lblOffset val="100"/>
        <c:noMultiLvlLbl val="0"/>
      </c:catAx>
      <c:valAx>
        <c:axId val="902352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IBTS ARSA Index 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902211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'[1]ARSA survey'!$B$1</c:f>
              <c:strCache>
                <c:ptCount val="1"/>
                <c:pt idx="0">
                  <c:v>ARSA 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survey'!$B$2:$B$33</c:f>
              <c:numCache>
                <c:formatCode>General</c:formatCode>
                <c:ptCount val="32"/>
                <c:pt idx="0">
                  <c:v>0.93177118740086118</c:v>
                </c:pt>
                <c:pt idx="1">
                  <c:v>0.9599804554724678</c:v>
                </c:pt>
                <c:pt idx="3">
                  <c:v>0.89048734543517016</c:v>
                </c:pt>
                <c:pt idx="4">
                  <c:v>0.34396419669159306</c:v>
                </c:pt>
                <c:pt idx="5">
                  <c:v>0.32505132562882388</c:v>
                </c:pt>
                <c:pt idx="7">
                  <c:v>0.37101404939950144</c:v>
                </c:pt>
                <c:pt idx="8">
                  <c:v>0.44275254928619984</c:v>
                </c:pt>
                <c:pt idx="9">
                  <c:v>0.39318709332815382</c:v>
                </c:pt>
                <c:pt idx="11">
                  <c:v>0.1516002719238613</c:v>
                </c:pt>
                <c:pt idx="12">
                  <c:v>0.63390876062899104</c:v>
                </c:pt>
                <c:pt idx="13">
                  <c:v>0.41714434624971675</c:v>
                </c:pt>
                <c:pt idx="14">
                  <c:v>0.35791088385682984</c:v>
                </c:pt>
                <c:pt idx="15">
                  <c:v>0.85028076138681175</c:v>
                </c:pt>
                <c:pt idx="16">
                  <c:v>0.47662802485479505</c:v>
                </c:pt>
                <c:pt idx="18">
                  <c:v>0.23577906186267841</c:v>
                </c:pt>
                <c:pt idx="19">
                  <c:v>0.18133401314298664</c:v>
                </c:pt>
                <c:pt idx="20">
                  <c:v>0.79454248810333106</c:v>
                </c:pt>
                <c:pt idx="21">
                  <c:v>1.9214575118966688</c:v>
                </c:pt>
                <c:pt idx="22">
                  <c:v>1.2688084790804028</c:v>
                </c:pt>
                <c:pt idx="23">
                  <c:v>2.7337495828440761</c:v>
                </c:pt>
                <c:pt idx="24">
                  <c:v>1.6701857734379826</c:v>
                </c:pt>
                <c:pt idx="25">
                  <c:v>0.38155476587767545</c:v>
                </c:pt>
                <c:pt idx="26">
                  <c:v>1.3424154254990419</c:v>
                </c:pt>
                <c:pt idx="27">
                  <c:v>6.1595910944935417</c:v>
                </c:pt>
                <c:pt idx="29">
                  <c:v>0.25096329027872194</c:v>
                </c:pt>
                <c:pt idx="30">
                  <c:v>0.67425186947654658</c:v>
                </c:pt>
                <c:pt idx="31">
                  <c:v>4.0763432420740378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C-AB4E-954D-A5A19006490D}"/>
            </c:ext>
          </c:extLst>
        </c:ser>
        <c:ser>
          <c:idx val="1"/>
          <c:order val="1"/>
          <c:tx>
            <c:strRef>
              <c:f>'[1]ARSA survey'!$F$1</c:f>
              <c:strCache>
                <c:ptCount val="1"/>
                <c:pt idx="0">
                  <c:v>ARSA_std_model Casper</c:v>
                </c:pt>
              </c:strCache>
            </c:strRef>
          </c:tx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survey'!$F$2:$F$35</c:f>
              <c:numCache>
                <c:formatCode>General</c:formatCode>
                <c:ptCount val="34"/>
                <c:pt idx="0">
                  <c:v>0.987687135310505</c:v>
                </c:pt>
                <c:pt idx="3">
                  <c:v>0.58619003394221791</c:v>
                </c:pt>
                <c:pt idx="4">
                  <c:v>0.36706897155611601</c:v>
                </c:pt>
                <c:pt idx="5">
                  <c:v>0.19184941507802</c:v>
                </c:pt>
                <c:pt idx="6">
                  <c:v>0.58610428076207599</c:v>
                </c:pt>
                <c:pt idx="7">
                  <c:v>0.54496447414245097</c:v>
                </c:pt>
                <c:pt idx="8">
                  <c:v>0.60886059249519309</c:v>
                </c:pt>
                <c:pt idx="9">
                  <c:v>0.84969773732239506</c:v>
                </c:pt>
                <c:pt idx="11">
                  <c:v>0.39587089664303604</c:v>
                </c:pt>
                <c:pt idx="12">
                  <c:v>0.94198055967161998</c:v>
                </c:pt>
                <c:pt idx="13">
                  <c:v>0.68347081871722293</c:v>
                </c:pt>
                <c:pt idx="14">
                  <c:v>0.599421788438671</c:v>
                </c:pt>
                <c:pt idx="15">
                  <c:v>1.0795141399883801</c:v>
                </c:pt>
                <c:pt idx="16">
                  <c:v>0.42707442709747001</c:v>
                </c:pt>
                <c:pt idx="17">
                  <c:v>1.3660371813932699</c:v>
                </c:pt>
                <c:pt idx="18">
                  <c:v>0.5952162944064201</c:v>
                </c:pt>
                <c:pt idx="19">
                  <c:v>0.32483927186720002</c:v>
                </c:pt>
                <c:pt idx="20">
                  <c:v>0.46202335567258596</c:v>
                </c:pt>
                <c:pt idx="21">
                  <c:v>1.5304473339293398</c:v>
                </c:pt>
                <c:pt idx="22">
                  <c:v>2.2382149461589003</c:v>
                </c:pt>
                <c:pt idx="23">
                  <c:v>3.9783874920349098</c:v>
                </c:pt>
                <c:pt idx="24">
                  <c:v>1.8935208160716499</c:v>
                </c:pt>
                <c:pt idx="25">
                  <c:v>0.60233053980641205</c:v>
                </c:pt>
                <c:pt idx="26">
                  <c:v>2.5669860461931497</c:v>
                </c:pt>
                <c:pt idx="27">
                  <c:v>6.9161497884113796</c:v>
                </c:pt>
                <c:pt idx="29">
                  <c:v>0.32881100520864198</c:v>
                </c:pt>
                <c:pt idx="30">
                  <c:v>0.76881941889166006</c:v>
                </c:pt>
                <c:pt idx="31">
                  <c:v>3.0396394796627502</c:v>
                </c:pt>
                <c:pt idx="32">
                  <c:v>1.2664706514597732</c:v>
                </c:pt>
                <c:pt idx="33">
                  <c:v>1.2664706514597732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AC-AB4E-954D-A5A190064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99936"/>
        <c:axId val="93360896"/>
      </c:lineChart>
      <c:catAx>
        <c:axId val="9219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ES"/>
          </a:p>
        </c:txPr>
        <c:crossAx val="93360896"/>
        <c:crosses val="autoZero"/>
        <c:auto val="1"/>
        <c:lblAlgn val="ctr"/>
        <c:lblOffset val="100"/>
        <c:noMultiLvlLbl val="0"/>
      </c:catAx>
      <c:valAx>
        <c:axId val="933608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IBTS ARSA Index 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9219993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'[1]ARSA survey'!$E$1</c:f>
              <c:strCache>
                <c:ptCount val="1"/>
                <c:pt idx="0">
                  <c:v>ARSA_normalized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survey'!$E$2:$E$33</c:f>
              <c:numCache>
                <c:formatCode>General</c:formatCode>
                <c:ptCount val="32"/>
                <c:pt idx="0">
                  <c:v>0.86048898575312283</c:v>
                </c:pt>
                <c:pt idx="1">
                  <c:v>0.88654019317399768</c:v>
                </c:pt>
                <c:pt idx="3">
                  <c:v>0.82236343327693684</c:v>
                </c:pt>
                <c:pt idx="4">
                  <c:v>0.31765030594276455</c:v>
                </c:pt>
                <c:pt idx="5">
                  <c:v>0.30018430414045683</c:v>
                </c:pt>
                <c:pt idx="7">
                  <c:v>0.34263079539782831</c:v>
                </c:pt>
                <c:pt idx="8">
                  <c:v>0.40888116871013208</c:v>
                </c:pt>
                <c:pt idx="9">
                  <c:v>0.36310756087331753</c:v>
                </c:pt>
                <c:pt idx="11">
                  <c:v>0.14000257358412976</c:v>
                </c:pt>
                <c:pt idx="12">
                  <c:v>0.58541357993181864</c:v>
                </c:pt>
                <c:pt idx="13">
                  <c:v>0.38523204008737361</c:v>
                </c:pt>
                <c:pt idx="14">
                  <c:v>0.33053004600739022</c:v>
                </c:pt>
                <c:pt idx="15">
                  <c:v>0.78523272651525056</c:v>
                </c:pt>
                <c:pt idx="16">
                  <c:v>0.44016510838124007</c:v>
                </c:pt>
                <c:pt idx="18">
                  <c:v>0.21774153198488505</c:v>
                </c:pt>
                <c:pt idx="19">
                  <c:v>0.16746162916585566</c:v>
                </c:pt>
                <c:pt idx="20">
                  <c:v>0.73375853317909334</c:v>
                </c:pt>
                <c:pt idx="21">
                  <c:v>1.7744624945870646</c:v>
                </c:pt>
                <c:pt idx="22">
                  <c:v>1.1717423075984772</c:v>
                </c:pt>
                <c:pt idx="23">
                  <c:v>2.5246127350281573</c:v>
                </c:pt>
                <c:pt idx="24">
                  <c:v>1.5424135041285096</c:v>
                </c:pt>
                <c:pt idx="25">
                  <c:v>0.35236512776832807</c:v>
                </c:pt>
                <c:pt idx="26">
                  <c:v>1.2397181878624268</c:v>
                </c:pt>
                <c:pt idx="27">
                  <c:v>5.6883710992819827</c:v>
                </c:pt>
                <c:pt idx="29">
                  <c:v>0.23176413912904001</c:v>
                </c:pt>
                <c:pt idx="30">
                  <c:v>0.62267036709562484</c:v>
                </c:pt>
                <c:pt idx="31">
                  <c:v>3.7644955214147924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7-CA4D-8ECC-ABFB4426DC96}"/>
            </c:ext>
          </c:extLst>
        </c:ser>
        <c:ser>
          <c:idx val="1"/>
          <c:order val="1"/>
          <c:tx>
            <c:strRef>
              <c:f>'[1]ARSA survey'!$H$1</c:f>
              <c:strCache>
                <c:ptCount val="1"/>
                <c:pt idx="0">
                  <c:v>ARSA_std_Model Casper_normalized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'[1]ARSA survey'!$A$2:$A$33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'[1]ARSA survey'!$H$2:$H$33</c:f>
              <c:numCache>
                <c:formatCode>General</c:formatCode>
                <c:ptCount val="32"/>
                <c:pt idx="0">
                  <c:v>0.7798736861150839</c:v>
                </c:pt>
                <c:pt idx="3">
                  <c:v>0.46285323174805287</c:v>
                </c:pt>
                <c:pt idx="4">
                  <c:v>0.28983614514321432</c:v>
                </c:pt>
                <c:pt idx="5">
                  <c:v>0.15148350643332195</c:v>
                </c:pt>
                <c:pt idx="6">
                  <c:v>0.46278552139089374</c:v>
                </c:pt>
                <c:pt idx="7">
                  <c:v>0.43030169985724348</c:v>
                </c:pt>
                <c:pt idx="8">
                  <c:v>0.48075381122602528</c:v>
                </c:pt>
                <c:pt idx="9">
                  <c:v>0.67091782690977264</c:v>
                </c:pt>
                <c:pt idx="11">
                  <c:v>0.31257802633384596</c:v>
                </c:pt>
                <c:pt idx="12">
                  <c:v>0.74378396260968549</c:v>
                </c:pt>
                <c:pt idx="13">
                  <c:v>0.53966573795408002</c:v>
                </c:pt>
                <c:pt idx="14">
                  <c:v>0.4733009704944674</c:v>
                </c:pt>
                <c:pt idx="15">
                  <c:v>0.85237991006273905</c:v>
                </c:pt>
                <c:pt idx="16">
                  <c:v>0.33721620521187035</c:v>
                </c:pt>
                <c:pt idx="17">
                  <c:v>1.0786173211505006</c:v>
                </c:pt>
                <c:pt idx="18">
                  <c:v>0.46998032976157433</c:v>
                </c:pt>
                <c:pt idx="19">
                  <c:v>0.25649174853975515</c:v>
                </c:pt>
                <c:pt idx="20">
                  <c:v>0.36481173498970826</c:v>
                </c:pt>
                <c:pt idx="21">
                  <c:v>1.2084348991153477</c:v>
                </c:pt>
                <c:pt idx="22">
                  <c:v>1.7672852849602669</c:v>
                </c:pt>
                <c:pt idx="23">
                  <c:v>3.1413183459476914</c:v>
                </c:pt>
                <c:pt idx="24">
                  <c:v>1.4951162223057592</c:v>
                </c:pt>
                <c:pt idx="25">
                  <c:v>0.47559770857078071</c:v>
                </c:pt>
                <c:pt idx="26">
                  <c:v>2.0268815887950993</c:v>
                </c:pt>
                <c:pt idx="27">
                  <c:v>5.4609633317910777</c:v>
                </c:pt>
                <c:pt idx="29">
                  <c:v>0.25962781279585456</c:v>
                </c:pt>
                <c:pt idx="30">
                  <c:v>0.60705664044049901</c:v>
                </c:pt>
                <c:pt idx="31">
                  <c:v>2.4000867893457838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7-CA4D-8ECC-ABFB4426DC96}"/>
            </c:ext>
          </c:extLst>
        </c:ser>
        <c:ser>
          <c:idx val="2"/>
          <c:order val="2"/>
          <c:tx>
            <c:strRef>
              <c:f>'[1]ARSA survey'!$L$1</c:f>
              <c:strCache>
                <c:ptCount val="1"/>
                <c:pt idx="0">
                  <c:v>isunepca_normalizada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'[1]ARSA survey'!$L$2:$L$33</c:f>
              <c:numCache>
                <c:formatCode>General</c:formatCode>
                <c:ptCount val="32"/>
                <c:pt idx="23">
                  <c:v>1.1162105568038025</c:v>
                </c:pt>
                <c:pt idx="24">
                  <c:v>0.86611476147655764</c:v>
                </c:pt>
                <c:pt idx="25">
                  <c:v>1.1290788241477159</c:v>
                </c:pt>
                <c:pt idx="26">
                  <c:v>1.7104377155247144</c:v>
                </c:pt>
                <c:pt idx="28">
                  <c:v>1.2472901452289988</c:v>
                </c:pt>
                <c:pt idx="29">
                  <c:v>0.78055958397033343</c:v>
                </c:pt>
                <c:pt idx="30">
                  <c:v>0.76332434423046136</c:v>
                </c:pt>
                <c:pt idx="31">
                  <c:v>0.85258835188723636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B7-CA4D-8ECC-ABFB4426D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92928"/>
        <c:axId val="95662080"/>
      </c:lineChart>
      <c:catAx>
        <c:axId val="9449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s-ES"/>
          </a:p>
        </c:txPr>
        <c:crossAx val="95662080"/>
        <c:crosses val="autoZero"/>
        <c:auto val="1"/>
        <c:lblAlgn val="ctr"/>
        <c:lblOffset val="100"/>
        <c:noMultiLvlLbl val="0"/>
      </c:catAx>
      <c:valAx>
        <c:axId val="956620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IBTS ARSA Index 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9449292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685800</xdr:colOff>
      <xdr:row>2</xdr:row>
      <xdr:rowOff>161925</xdr:rowOff>
    </xdr:from>
    <xdr:to>
      <xdr:col>23</xdr:col>
      <xdr:colOff>685800</xdr:colOff>
      <xdr:row>18</xdr:row>
      <xdr:rowOff>123826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0</xdr:rowOff>
    </xdr:from>
    <xdr:to>
      <xdr:col>24</xdr:col>
      <xdr:colOff>0</xdr:colOff>
      <xdr:row>35</xdr:row>
      <xdr:rowOff>152401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685800</xdr:colOff>
      <xdr:row>2</xdr:row>
      <xdr:rowOff>161925</xdr:rowOff>
    </xdr:from>
    <xdr:to>
      <xdr:col>23</xdr:col>
      <xdr:colOff>685800</xdr:colOff>
      <xdr:row>18</xdr:row>
      <xdr:rowOff>123826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20</xdr:row>
      <xdr:rowOff>0</xdr:rowOff>
    </xdr:from>
    <xdr:to>
      <xdr:col>24</xdr:col>
      <xdr:colOff>0</xdr:colOff>
      <xdr:row>36</xdr:row>
      <xdr:rowOff>152401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iciomardones/Downloads/Landings_FU30_wkbmsyspict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turas"/>
      <sheetName val="esfuerzo_LPUE"/>
      <sheetName val="LFD landings"/>
      <sheetName val="talla media"/>
      <sheetName val="peso medio"/>
      <sheetName val="sex-ratio"/>
      <sheetName val="ARSA survey"/>
      <sheetName val="ISUENPCA survey"/>
      <sheetName val="surveys normalizada"/>
      <sheetName val="old_rev_ISUENPCA survey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 xml:space="preserve">ARSA </v>
          </cell>
          <cell r="E1" t="str">
            <v>ARSA_normalized</v>
          </cell>
          <cell r="F1" t="str">
            <v>ARSA_std_model Casper</v>
          </cell>
          <cell r="H1" t="str">
            <v>ARSA_std_Model Casper_normalized</v>
          </cell>
          <cell r="L1" t="str">
            <v>isunepca_normalizada</v>
          </cell>
        </row>
        <row r="2">
          <cell r="A2">
            <v>1993</v>
          </cell>
          <cell r="B2">
            <v>0.93177118740086118</v>
          </cell>
          <cell r="E2">
            <v>0.86048898575312283</v>
          </cell>
          <cell r="F2">
            <v>0.987687135310505</v>
          </cell>
          <cell r="H2">
            <v>0.7798736861150839</v>
          </cell>
        </row>
        <row r="3">
          <cell r="A3">
            <v>1994</v>
          </cell>
          <cell r="B3">
            <v>0.9599804554724678</v>
          </cell>
          <cell r="E3">
            <v>0.88654019317399768</v>
          </cell>
        </row>
        <row r="4">
          <cell r="A4">
            <v>1995</v>
          </cell>
        </row>
        <row r="5">
          <cell r="A5">
            <v>1996</v>
          </cell>
          <cell r="B5">
            <v>0.89048734543517016</v>
          </cell>
          <cell r="E5">
            <v>0.82236343327693684</v>
          </cell>
          <cell r="F5">
            <v>0.58619003394221791</v>
          </cell>
          <cell r="H5">
            <v>0.46285323174805287</v>
          </cell>
        </row>
        <row r="6">
          <cell r="A6">
            <v>1997</v>
          </cell>
          <cell r="B6">
            <v>0.34396419669159306</v>
          </cell>
          <cell r="E6">
            <v>0.31765030594276455</v>
          </cell>
          <cell r="F6">
            <v>0.36706897155611601</v>
          </cell>
          <cell r="H6">
            <v>0.28983614514321432</v>
          </cell>
        </row>
        <row r="7">
          <cell r="A7">
            <v>1998</v>
          </cell>
          <cell r="B7">
            <v>0.32505132562882388</v>
          </cell>
          <cell r="E7">
            <v>0.30018430414045683</v>
          </cell>
          <cell r="F7">
            <v>0.19184941507802</v>
          </cell>
          <cell r="H7">
            <v>0.15148350643332195</v>
          </cell>
        </row>
        <row r="8">
          <cell r="A8">
            <v>1999</v>
          </cell>
          <cell r="F8">
            <v>0.58610428076207599</v>
          </cell>
          <cell r="H8">
            <v>0.46278552139089374</v>
          </cell>
        </row>
        <row r="9">
          <cell r="A9">
            <v>2000</v>
          </cell>
          <cell r="B9">
            <v>0.37101404939950144</v>
          </cell>
          <cell r="E9">
            <v>0.34263079539782831</v>
          </cell>
          <cell r="F9">
            <v>0.54496447414245097</v>
          </cell>
          <cell r="H9">
            <v>0.43030169985724348</v>
          </cell>
        </row>
        <row r="10">
          <cell r="A10">
            <v>2001</v>
          </cell>
          <cell r="B10">
            <v>0.44275254928619984</v>
          </cell>
          <cell r="E10">
            <v>0.40888116871013208</v>
          </cell>
          <cell r="F10">
            <v>0.60886059249519309</v>
          </cell>
          <cell r="H10">
            <v>0.48075381122602528</v>
          </cell>
        </row>
        <row r="11">
          <cell r="A11">
            <v>2002</v>
          </cell>
          <cell r="B11">
            <v>0.39318709332815382</v>
          </cell>
          <cell r="E11">
            <v>0.36310756087331753</v>
          </cell>
          <cell r="F11">
            <v>0.84969773732239506</v>
          </cell>
          <cell r="H11">
            <v>0.67091782690977264</v>
          </cell>
        </row>
        <row r="12">
          <cell r="A12">
            <v>2003</v>
          </cell>
        </row>
        <row r="13">
          <cell r="A13">
            <v>2004</v>
          </cell>
          <cell r="B13">
            <v>0.1516002719238613</v>
          </cell>
          <cell r="E13">
            <v>0.14000257358412976</v>
          </cell>
          <cell r="F13">
            <v>0.39587089664303604</v>
          </cell>
          <cell r="H13">
            <v>0.31257802633384596</v>
          </cell>
        </row>
        <row r="14">
          <cell r="A14">
            <v>2005</v>
          </cell>
          <cell r="B14">
            <v>0.63390876062899104</v>
          </cell>
          <cell r="E14">
            <v>0.58541357993181864</v>
          </cell>
          <cell r="F14">
            <v>0.94198055967161998</v>
          </cell>
          <cell r="H14">
            <v>0.74378396260968549</v>
          </cell>
        </row>
        <row r="15">
          <cell r="A15">
            <v>2006</v>
          </cell>
          <cell r="B15">
            <v>0.41714434624971675</v>
          </cell>
          <cell r="E15">
            <v>0.38523204008737361</v>
          </cell>
          <cell r="F15">
            <v>0.68347081871722293</v>
          </cell>
          <cell r="H15">
            <v>0.53966573795408002</v>
          </cell>
        </row>
        <row r="16">
          <cell r="A16">
            <v>2007</v>
          </cell>
          <cell r="B16">
            <v>0.35791088385682984</v>
          </cell>
          <cell r="E16">
            <v>0.33053004600739022</v>
          </cell>
          <cell r="F16">
            <v>0.599421788438671</v>
          </cell>
          <cell r="H16">
            <v>0.4733009704944674</v>
          </cell>
        </row>
        <row r="17">
          <cell r="A17">
            <v>2008</v>
          </cell>
          <cell r="B17">
            <v>0.85028076138681175</v>
          </cell>
          <cell r="E17">
            <v>0.78523272651525056</v>
          </cell>
          <cell r="F17">
            <v>1.0795141399883801</v>
          </cell>
          <cell r="H17">
            <v>0.85237991006273905</v>
          </cell>
        </row>
        <row r="18">
          <cell r="A18">
            <v>2009</v>
          </cell>
          <cell r="B18">
            <v>0.47662802485479505</v>
          </cell>
          <cell r="E18">
            <v>0.44016510838124007</v>
          </cell>
          <cell r="F18">
            <v>0.42707442709747001</v>
          </cell>
          <cell r="H18">
            <v>0.33721620521187035</v>
          </cell>
        </row>
        <row r="19">
          <cell r="A19">
            <v>2010</v>
          </cell>
          <cell r="F19">
            <v>1.3660371813932699</v>
          </cell>
          <cell r="H19">
            <v>1.0786173211505006</v>
          </cell>
        </row>
        <row r="20">
          <cell r="A20">
            <v>2011</v>
          </cell>
          <cell r="B20">
            <v>0.23577906186267841</v>
          </cell>
          <cell r="E20">
            <v>0.21774153198488505</v>
          </cell>
          <cell r="F20">
            <v>0.5952162944064201</v>
          </cell>
          <cell r="H20">
            <v>0.46998032976157433</v>
          </cell>
        </row>
        <row r="21">
          <cell r="A21">
            <v>2012</v>
          </cell>
          <cell r="B21">
            <v>0.18133401314298664</v>
          </cell>
          <cell r="E21">
            <v>0.16746162916585566</v>
          </cell>
          <cell r="F21">
            <v>0.32483927186720002</v>
          </cell>
          <cell r="H21">
            <v>0.25649174853975515</v>
          </cell>
        </row>
        <row r="22">
          <cell r="A22">
            <v>2013</v>
          </cell>
          <cell r="B22">
            <v>0.79454248810333106</v>
          </cell>
          <cell r="E22">
            <v>0.73375853317909334</v>
          </cell>
          <cell r="F22">
            <v>0.46202335567258596</v>
          </cell>
          <cell r="H22">
            <v>0.36481173498970826</v>
          </cell>
        </row>
        <row r="23">
          <cell r="A23">
            <v>2014</v>
          </cell>
          <cell r="B23">
            <v>1.9214575118966688</v>
          </cell>
          <cell r="E23">
            <v>1.7744624945870646</v>
          </cell>
          <cell r="F23">
            <v>1.5304473339293398</v>
          </cell>
          <cell r="H23">
            <v>1.2084348991153477</v>
          </cell>
        </row>
        <row r="24">
          <cell r="A24">
            <v>2015</v>
          </cell>
          <cell r="B24">
            <v>1.2688084790804028</v>
          </cell>
          <cell r="E24">
            <v>1.1717423075984772</v>
          </cell>
          <cell r="F24">
            <v>2.2382149461589003</v>
          </cell>
          <cell r="H24">
            <v>1.7672852849602669</v>
          </cell>
        </row>
        <row r="25">
          <cell r="A25">
            <v>2016</v>
          </cell>
          <cell r="B25">
            <v>2.7337495828440761</v>
          </cell>
          <cell r="E25">
            <v>2.5246127350281573</v>
          </cell>
          <cell r="F25">
            <v>3.9783874920349098</v>
          </cell>
          <cell r="H25">
            <v>3.1413183459476914</v>
          </cell>
          <cell r="L25">
            <v>1.1162105568038025</v>
          </cell>
        </row>
        <row r="26">
          <cell r="A26">
            <v>2017</v>
          </cell>
          <cell r="B26">
            <v>1.6701857734379826</v>
          </cell>
          <cell r="E26">
            <v>1.5424135041285096</v>
          </cell>
          <cell r="F26">
            <v>1.8935208160716499</v>
          </cell>
          <cell r="H26">
            <v>1.4951162223057592</v>
          </cell>
          <cell r="L26">
            <v>0.86611476147655764</v>
          </cell>
        </row>
        <row r="27">
          <cell r="A27">
            <v>2018</v>
          </cell>
          <cell r="B27">
            <v>0.38155476587767545</v>
          </cell>
          <cell r="E27">
            <v>0.35236512776832807</v>
          </cell>
          <cell r="F27">
            <v>0.60233053980641205</v>
          </cell>
          <cell r="H27">
            <v>0.47559770857078071</v>
          </cell>
          <cell r="L27">
            <v>1.1290788241477159</v>
          </cell>
        </row>
        <row r="28">
          <cell r="A28">
            <v>2019</v>
          </cell>
          <cell r="B28">
            <v>1.3424154254990419</v>
          </cell>
          <cell r="E28">
            <v>1.2397181878624268</v>
          </cell>
          <cell r="F28">
            <v>2.5669860461931497</v>
          </cell>
          <cell r="H28">
            <v>2.0268815887950993</v>
          </cell>
          <cell r="L28">
            <v>1.7104377155247144</v>
          </cell>
        </row>
        <row r="29">
          <cell r="A29">
            <v>2020</v>
          </cell>
          <cell r="B29">
            <v>6.1595910944935417</v>
          </cell>
          <cell r="E29">
            <v>5.6883710992819827</v>
          </cell>
          <cell r="F29">
            <v>6.9161497884113796</v>
          </cell>
          <cell r="H29">
            <v>5.4609633317910777</v>
          </cell>
        </row>
        <row r="30">
          <cell r="A30">
            <v>2021</v>
          </cell>
          <cell r="L30">
            <v>1.2472901452289988</v>
          </cell>
        </row>
        <row r="31">
          <cell r="A31">
            <v>2022</v>
          </cell>
          <cell r="B31">
            <v>0.25096329027872194</v>
          </cell>
          <cell r="E31">
            <v>0.23176413912904001</v>
          </cell>
          <cell r="F31">
            <v>0.32881100520864198</v>
          </cell>
          <cell r="H31">
            <v>0.25962781279585456</v>
          </cell>
          <cell r="L31">
            <v>0.78055958397033343</v>
          </cell>
        </row>
        <row r="32">
          <cell r="A32">
            <v>2023</v>
          </cell>
          <cell r="B32">
            <v>0.67425186947654658</v>
          </cell>
          <cell r="E32">
            <v>0.62267036709562484</v>
          </cell>
          <cell r="F32">
            <v>0.76881941889166006</v>
          </cell>
          <cell r="H32">
            <v>0.60705664044049901</v>
          </cell>
          <cell r="L32">
            <v>0.76332434423046136</v>
          </cell>
        </row>
        <row r="33">
          <cell r="A33">
            <v>2024</v>
          </cell>
          <cell r="B33">
            <v>4.0763432420740378</v>
          </cell>
          <cell r="E33">
            <v>3.7644955214147924</v>
          </cell>
          <cell r="F33">
            <v>3.0396394796627502</v>
          </cell>
          <cell r="H33">
            <v>2.4000867893457838</v>
          </cell>
          <cell r="L33">
            <v>0.85258835188723636</v>
          </cell>
        </row>
        <row r="34">
          <cell r="F34">
            <v>1.2664706514597732</v>
          </cell>
        </row>
        <row r="35">
          <cell r="F35">
            <v>1.2664706514597732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B1" workbookViewId="0">
      <selection activeCell="I2" sqref="I2:I33"/>
    </sheetView>
  </sheetViews>
  <sheetFormatPr baseColWidth="10" defaultColWidth="11.5" defaultRowHeight="15" x14ac:dyDescent="0.2"/>
  <cols>
    <col min="2" max="2" width="13.5" customWidth="1"/>
    <col min="3" max="3" width="14.33203125" bestFit="1" customWidth="1"/>
    <col min="4" max="5" width="16.5" bestFit="1" customWidth="1"/>
    <col min="6" max="6" width="22.5" bestFit="1" customWidth="1"/>
    <col min="7" max="7" width="26" bestFit="1" customWidth="1"/>
    <col min="8" max="8" width="32.6640625" bestFit="1" customWidth="1"/>
    <col min="9" max="9" width="18.6640625" bestFit="1" customWidth="1"/>
    <col min="10" max="10" width="20.5" bestFit="1" customWidth="1"/>
    <col min="11" max="11" width="15.5" bestFit="1" customWidth="1"/>
    <col min="12" max="12" width="19.5" bestFit="1" customWidth="1"/>
    <col min="13" max="13" width="20.6640625" bestFit="1" customWidth="1"/>
  </cols>
  <sheetData>
    <row r="1" spans="1:13" x14ac:dyDescent="0.2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s="1" t="s">
        <v>10</v>
      </c>
      <c r="L1" s="1" t="s">
        <v>11</v>
      </c>
      <c r="M1" s="1" t="s">
        <v>13</v>
      </c>
    </row>
    <row r="2" spans="1:13" x14ac:dyDescent="0.2">
      <c r="A2" s="1">
        <v>1993</v>
      </c>
      <c r="B2" s="3">
        <v>0.93177118740086118</v>
      </c>
      <c r="C2" s="4">
        <v>48.153386079452979</v>
      </c>
      <c r="D2" s="4">
        <v>6.9392640877439575</v>
      </c>
      <c r="E2" s="4">
        <f>B2/$B$35</f>
        <v>0.86048898575312283</v>
      </c>
      <c r="F2" s="4">
        <v>0.987687135310505</v>
      </c>
      <c r="G2">
        <v>0.408613595</v>
      </c>
      <c r="H2" s="4">
        <f>F2/$F$35</f>
        <v>0.7798736861150839</v>
      </c>
      <c r="I2">
        <f>G2/$G$35</f>
        <v>0.79448689923341709</v>
      </c>
      <c r="J2" s="2"/>
      <c r="K2" s="2"/>
      <c r="L2" s="2"/>
    </row>
    <row r="3" spans="1:13" x14ac:dyDescent="0.2">
      <c r="A3" s="1">
        <v>1994</v>
      </c>
      <c r="B3" s="3">
        <v>0.9599804554724678</v>
      </c>
      <c r="C3" s="4">
        <v>46.406986496218671</v>
      </c>
      <c r="D3" s="4">
        <v>6.8122673535482052</v>
      </c>
      <c r="E3" s="4">
        <f>B3/$B$35</f>
        <v>0.88654019317399768</v>
      </c>
      <c r="F3" s="4"/>
      <c r="H3" s="4"/>
      <c r="J3" s="2"/>
      <c r="K3" s="2"/>
      <c r="L3" s="2"/>
    </row>
    <row r="4" spans="1:13" x14ac:dyDescent="0.2">
      <c r="A4" s="1">
        <v>1995</v>
      </c>
      <c r="B4" s="3"/>
      <c r="C4" s="4"/>
      <c r="D4" s="4"/>
      <c r="E4" s="4"/>
      <c r="F4" s="4"/>
      <c r="H4" s="4"/>
      <c r="J4" s="2"/>
      <c r="K4" s="2"/>
      <c r="L4" s="2"/>
    </row>
    <row r="5" spans="1:13" x14ac:dyDescent="0.2">
      <c r="A5" s="1">
        <v>1996</v>
      </c>
      <c r="B5" s="3">
        <v>0.89048734543517016</v>
      </c>
      <c r="C5" s="4">
        <v>91.238948451987653</v>
      </c>
      <c r="D5" s="4">
        <v>9.5519081052943378</v>
      </c>
      <c r="E5" s="4">
        <f>B5/$B$35</f>
        <v>0.82236343327693684</v>
      </c>
      <c r="F5" s="4">
        <v>0.58619003394221791</v>
      </c>
      <c r="G5">
        <v>0.48265835699999998</v>
      </c>
      <c r="H5" s="4">
        <f t="shared" ref="H5:H33" si="0">F5/$F$35</f>
        <v>0.46285323174805287</v>
      </c>
      <c r="I5">
        <f t="shared" ref="I5:I33" si="1">G5/$G$35</f>
        <v>0.93845566112900791</v>
      </c>
      <c r="J5" s="2"/>
      <c r="K5" s="2"/>
      <c r="L5" s="2"/>
    </row>
    <row r="6" spans="1:13" x14ac:dyDescent="0.2">
      <c r="A6" s="1">
        <v>1997</v>
      </c>
      <c r="B6" s="3">
        <v>0.34396419669159306</v>
      </c>
      <c r="C6" s="4">
        <v>26.864838977951191</v>
      </c>
      <c r="D6" s="4">
        <v>5.1831302296923996</v>
      </c>
      <c r="E6" s="4">
        <f>B6/$B$35</f>
        <v>0.31765030594276455</v>
      </c>
      <c r="F6" s="4">
        <v>0.36706897155611601</v>
      </c>
      <c r="G6">
        <v>0.58702581700000001</v>
      </c>
      <c r="H6" s="4">
        <f t="shared" si="0"/>
        <v>0.28983614514321432</v>
      </c>
      <c r="I6">
        <f t="shared" si="1"/>
        <v>1.1413822908126523</v>
      </c>
      <c r="J6" s="2"/>
      <c r="K6" s="2"/>
      <c r="L6" s="2"/>
    </row>
    <row r="7" spans="1:13" x14ac:dyDescent="0.2">
      <c r="A7" s="1">
        <v>1998</v>
      </c>
      <c r="B7" s="3">
        <v>0.32505132562882388</v>
      </c>
      <c r="C7" s="4">
        <v>12.856247206934336</v>
      </c>
      <c r="D7" s="4">
        <v>3.5855609333735128</v>
      </c>
      <c r="E7" s="4">
        <f>B7/$B$35</f>
        <v>0.30018430414045683</v>
      </c>
      <c r="F7" s="4">
        <v>0.19184941507802</v>
      </c>
      <c r="G7">
        <v>0.53954271200000004</v>
      </c>
      <c r="H7" s="4">
        <f t="shared" si="0"/>
        <v>0.15148350643332195</v>
      </c>
      <c r="I7">
        <f t="shared" si="1"/>
        <v>1.0490586253275997</v>
      </c>
      <c r="J7" s="2"/>
      <c r="K7" s="2"/>
      <c r="L7" s="2"/>
    </row>
    <row r="8" spans="1:13" x14ac:dyDescent="0.2">
      <c r="A8" s="1">
        <v>1999</v>
      </c>
      <c r="B8" s="3"/>
      <c r="C8" s="4"/>
      <c r="D8" s="4"/>
      <c r="E8" s="4"/>
      <c r="F8" s="4">
        <v>0.58610428076207599</v>
      </c>
      <c r="G8">
        <v>0.56013193500000003</v>
      </c>
      <c r="H8" s="4">
        <f t="shared" si="0"/>
        <v>0.46278552139089374</v>
      </c>
      <c r="I8">
        <f t="shared" si="1"/>
        <v>1.0890912334910541</v>
      </c>
      <c r="J8" s="2"/>
      <c r="K8" s="2"/>
      <c r="L8" s="2"/>
    </row>
    <row r="9" spans="1:13" x14ac:dyDescent="0.2">
      <c r="A9" s="1">
        <v>2000</v>
      </c>
      <c r="B9" s="3">
        <v>0.37101404939950144</v>
      </c>
      <c r="C9" s="4">
        <v>10.894693292056939</v>
      </c>
      <c r="D9" s="4">
        <v>3.300711028256933</v>
      </c>
      <c r="E9" s="4">
        <f>B9/$B$35</f>
        <v>0.34263079539782831</v>
      </c>
      <c r="F9" s="4">
        <v>0.54496447414245097</v>
      </c>
      <c r="G9">
        <v>0.43793131400000002</v>
      </c>
      <c r="H9" s="4">
        <f t="shared" si="0"/>
        <v>0.43030169985724348</v>
      </c>
      <c r="I9">
        <f t="shared" si="1"/>
        <v>0.8514907384250785</v>
      </c>
      <c r="J9" s="2"/>
      <c r="K9" s="2"/>
      <c r="L9" s="2"/>
    </row>
    <row r="10" spans="1:13" x14ac:dyDescent="0.2">
      <c r="A10" s="1">
        <v>2001</v>
      </c>
      <c r="B10" s="3">
        <v>0.44275254928619984</v>
      </c>
      <c r="C10" s="4">
        <v>22.195653495592126</v>
      </c>
      <c r="D10" s="4">
        <v>4.7112263260845495</v>
      </c>
      <c r="E10" s="4">
        <f>B10/$B$35</f>
        <v>0.40888116871013208</v>
      </c>
      <c r="F10" s="4">
        <v>0.60886059249519309</v>
      </c>
      <c r="G10">
        <v>0.41921293599999998</v>
      </c>
      <c r="H10" s="4">
        <f t="shared" si="0"/>
        <v>0.48075381122602528</v>
      </c>
      <c r="I10">
        <f t="shared" si="1"/>
        <v>0.81509570341431481</v>
      </c>
      <c r="J10" s="2"/>
      <c r="K10" s="2"/>
      <c r="L10" s="2"/>
    </row>
    <row r="11" spans="1:13" x14ac:dyDescent="0.2">
      <c r="A11" s="1">
        <v>2002</v>
      </c>
      <c r="B11" s="3">
        <v>0.39318709332815382</v>
      </c>
      <c r="C11" s="4">
        <v>14.277395467176518</v>
      </c>
      <c r="D11" s="4">
        <v>3.7785440935863801</v>
      </c>
      <c r="E11" s="4">
        <f>B11/$B$35</f>
        <v>0.36310756087331753</v>
      </c>
      <c r="F11" s="4">
        <v>0.84969773732239506</v>
      </c>
      <c r="G11">
        <v>0.50639201</v>
      </c>
      <c r="H11" s="4">
        <f t="shared" si="0"/>
        <v>0.67091782690977264</v>
      </c>
      <c r="I11">
        <f t="shared" si="1"/>
        <v>0.98460213449696299</v>
      </c>
      <c r="J11" s="2"/>
      <c r="K11" s="2"/>
      <c r="L11" s="2"/>
    </row>
    <row r="12" spans="1:13" x14ac:dyDescent="0.2">
      <c r="A12" s="1">
        <v>2003</v>
      </c>
      <c r="B12" s="3"/>
      <c r="C12" s="4"/>
      <c r="D12" s="4"/>
      <c r="E12" s="4"/>
      <c r="F12" s="4"/>
      <c r="H12" s="4"/>
      <c r="J12" s="2"/>
      <c r="K12" s="2"/>
      <c r="L12" s="2"/>
    </row>
    <row r="13" spans="1:13" x14ac:dyDescent="0.2">
      <c r="A13" s="1">
        <v>2004</v>
      </c>
      <c r="B13" s="3">
        <v>0.1516002719238613</v>
      </c>
      <c r="C13" s="4">
        <v>3.1861343118813057</v>
      </c>
      <c r="D13" s="4">
        <v>1.7849745969848718</v>
      </c>
      <c r="E13" s="4">
        <f t="shared" ref="E13:E18" si="2">B13/$B$35</f>
        <v>0.14000257358412976</v>
      </c>
      <c r="F13" s="4">
        <v>0.39587089664303604</v>
      </c>
      <c r="G13">
        <v>0.58537133399999997</v>
      </c>
      <c r="H13" s="4">
        <f t="shared" si="0"/>
        <v>0.31257802633384596</v>
      </c>
      <c r="I13">
        <f t="shared" si="1"/>
        <v>1.1381654006147028</v>
      </c>
      <c r="J13" s="2"/>
      <c r="K13" s="2"/>
      <c r="L13" s="2"/>
    </row>
    <row r="14" spans="1:13" x14ac:dyDescent="0.2">
      <c r="A14" s="1">
        <v>2005</v>
      </c>
      <c r="B14" s="3">
        <v>0.63390876062899104</v>
      </c>
      <c r="C14" s="4">
        <v>58.035461201047617</v>
      </c>
      <c r="D14" s="4">
        <v>7.618100892023393</v>
      </c>
      <c r="E14" s="4">
        <f t="shared" si="2"/>
        <v>0.58541357993181864</v>
      </c>
      <c r="F14" s="4">
        <v>0.94198055967161998</v>
      </c>
      <c r="G14">
        <v>0.50607718099999999</v>
      </c>
      <c r="H14" s="4">
        <f t="shared" si="0"/>
        <v>0.74378396260968549</v>
      </c>
      <c r="I14">
        <f t="shared" si="1"/>
        <v>0.98398999745830484</v>
      </c>
      <c r="J14" s="2"/>
      <c r="K14" s="2"/>
      <c r="L14" s="2"/>
    </row>
    <row r="15" spans="1:13" x14ac:dyDescent="0.2">
      <c r="A15" s="1">
        <v>2006</v>
      </c>
      <c r="B15" s="3">
        <v>0.41714434624971675</v>
      </c>
      <c r="C15" s="4">
        <v>10.111367637969291</v>
      </c>
      <c r="D15" s="4">
        <v>3.17983767478299</v>
      </c>
      <c r="E15" s="4">
        <f t="shared" si="2"/>
        <v>0.38523204008737361</v>
      </c>
      <c r="F15" s="4">
        <v>0.68347081871722293</v>
      </c>
      <c r="G15">
        <v>0.45698306599999999</v>
      </c>
      <c r="H15" s="4">
        <f t="shared" si="0"/>
        <v>0.53966573795408002</v>
      </c>
      <c r="I15">
        <f t="shared" si="1"/>
        <v>0.8885339684023974</v>
      </c>
      <c r="J15" s="2"/>
      <c r="K15" s="2"/>
      <c r="L15" s="2"/>
    </row>
    <row r="16" spans="1:13" x14ac:dyDescent="0.2">
      <c r="A16" s="1">
        <v>2007</v>
      </c>
      <c r="B16" s="3">
        <v>0.35791088385682984</v>
      </c>
      <c r="C16" s="4">
        <v>22.230147921089227</v>
      </c>
      <c r="D16" s="4">
        <v>4.7148857802802846</v>
      </c>
      <c r="E16" s="4">
        <f t="shared" si="2"/>
        <v>0.33053004600739022</v>
      </c>
      <c r="F16" s="4">
        <v>0.599421788438671</v>
      </c>
      <c r="G16">
        <v>0.44386442199999998</v>
      </c>
      <c r="H16" s="4">
        <f t="shared" si="0"/>
        <v>0.4733009704944674</v>
      </c>
      <c r="I16">
        <f t="shared" si="1"/>
        <v>0.8630267632549351</v>
      </c>
      <c r="J16" s="2"/>
      <c r="K16" s="2"/>
      <c r="L16" s="2"/>
    </row>
    <row r="17" spans="1:13" x14ac:dyDescent="0.2">
      <c r="A17" s="1">
        <v>2008</v>
      </c>
      <c r="B17" s="3">
        <v>0.85028076138681175</v>
      </c>
      <c r="C17" s="4">
        <v>54.916324553832226</v>
      </c>
      <c r="D17" s="4">
        <v>7.4105549423664776</v>
      </c>
      <c r="E17" s="4">
        <f t="shared" si="2"/>
        <v>0.78523272651525056</v>
      </c>
      <c r="F17" s="4">
        <v>1.0795141399883801</v>
      </c>
      <c r="G17">
        <v>0.45389194999999999</v>
      </c>
      <c r="H17" s="4">
        <f t="shared" si="0"/>
        <v>0.85237991006273905</v>
      </c>
      <c r="I17">
        <f t="shared" si="1"/>
        <v>0.88252376415060096</v>
      </c>
      <c r="J17" s="2"/>
      <c r="K17" s="2"/>
      <c r="L17" s="2"/>
    </row>
    <row r="18" spans="1:13" x14ac:dyDescent="0.2">
      <c r="A18" s="1">
        <v>2009</v>
      </c>
      <c r="B18" s="3">
        <v>0.47662802485479505</v>
      </c>
      <c r="C18" s="4">
        <v>31.504670190547522</v>
      </c>
      <c r="D18" s="4">
        <v>5.6129021183829249</v>
      </c>
      <c r="E18" s="4">
        <f t="shared" si="2"/>
        <v>0.44016510838124007</v>
      </c>
      <c r="F18" s="4">
        <v>0.42707442709747001</v>
      </c>
      <c r="G18">
        <v>0.53669981600000005</v>
      </c>
      <c r="H18" s="4">
        <f t="shared" si="0"/>
        <v>0.33721620521187035</v>
      </c>
      <c r="I18">
        <f t="shared" si="1"/>
        <v>1.0435310470592285</v>
      </c>
      <c r="J18" s="2"/>
      <c r="K18" s="2"/>
      <c r="L18" s="2"/>
    </row>
    <row r="19" spans="1:13" x14ac:dyDescent="0.2">
      <c r="A19" s="1">
        <v>2010</v>
      </c>
      <c r="B19" s="3"/>
      <c r="C19" s="4"/>
      <c r="D19" s="4"/>
      <c r="E19" s="4"/>
      <c r="F19" s="4">
        <v>1.3660371813932699</v>
      </c>
      <c r="G19">
        <v>0.59204151000000005</v>
      </c>
      <c r="H19" s="4">
        <f t="shared" si="0"/>
        <v>1.0786173211505006</v>
      </c>
      <c r="I19">
        <f t="shared" si="1"/>
        <v>1.1511345419071779</v>
      </c>
      <c r="J19" s="2"/>
      <c r="K19" s="2"/>
      <c r="L19" s="2"/>
    </row>
    <row r="20" spans="1:13" x14ac:dyDescent="0.2">
      <c r="A20" s="1">
        <v>2011</v>
      </c>
      <c r="B20" s="3">
        <v>0.23577906186267841</v>
      </c>
      <c r="C20" s="4">
        <v>5.6349625503907168</v>
      </c>
      <c r="D20" s="4">
        <v>2.373807606018381</v>
      </c>
      <c r="E20" s="4">
        <f t="shared" ref="E20:E29" si="3">B20/$B$35</f>
        <v>0.21774153198488505</v>
      </c>
      <c r="F20" s="4">
        <v>0.5952162944064201</v>
      </c>
      <c r="G20">
        <v>0.609051326</v>
      </c>
      <c r="H20" s="4">
        <f t="shared" si="0"/>
        <v>0.46998032976157433</v>
      </c>
      <c r="I20">
        <f t="shared" si="1"/>
        <v>1.1842075383413053</v>
      </c>
      <c r="J20" s="2"/>
      <c r="K20" s="2"/>
      <c r="L20" s="2"/>
    </row>
    <row r="21" spans="1:13" x14ac:dyDescent="0.2">
      <c r="A21" s="2">
        <v>2012</v>
      </c>
      <c r="B21" s="3">
        <v>0.18133401314298664</v>
      </c>
      <c r="C21" s="4">
        <v>8.027508208268948</v>
      </c>
      <c r="D21" s="4">
        <v>2.8332857618441785</v>
      </c>
      <c r="E21" s="4">
        <f t="shared" si="3"/>
        <v>0.16746162916585566</v>
      </c>
      <c r="F21" s="4">
        <v>0.32483927186720002</v>
      </c>
      <c r="G21">
        <v>0.66881886499999998</v>
      </c>
      <c r="H21" s="4">
        <f t="shared" si="0"/>
        <v>0.25649174853975515</v>
      </c>
      <c r="I21">
        <f t="shared" si="1"/>
        <v>1.3004164146879729</v>
      </c>
      <c r="J21" s="2"/>
      <c r="K21" s="2"/>
      <c r="L21" s="2"/>
    </row>
    <row r="22" spans="1:13" x14ac:dyDescent="0.2">
      <c r="A22" s="2">
        <v>2013</v>
      </c>
      <c r="B22" s="3">
        <v>0.79454248810333106</v>
      </c>
      <c r="C22" s="4">
        <v>213.81378818961284</v>
      </c>
      <c r="D22" s="4">
        <v>14.622372864539217</v>
      </c>
      <c r="E22" s="4">
        <f t="shared" si="3"/>
        <v>0.73375853317909334</v>
      </c>
      <c r="F22" s="4">
        <v>0.46202335567258596</v>
      </c>
      <c r="G22">
        <v>0.524287316</v>
      </c>
      <c r="H22" s="4">
        <f t="shared" si="0"/>
        <v>0.36481173498970826</v>
      </c>
      <c r="I22">
        <f t="shared" si="1"/>
        <v>1.0193968313664423</v>
      </c>
      <c r="J22" s="2"/>
      <c r="K22" s="2"/>
      <c r="L22" s="2"/>
    </row>
    <row r="23" spans="1:13" x14ac:dyDescent="0.2">
      <c r="A23" s="2">
        <v>2014</v>
      </c>
      <c r="B23" s="3">
        <v>1.9214575118966688</v>
      </c>
      <c r="C23" s="4">
        <v>855.38483787497444</v>
      </c>
      <c r="D23" s="4">
        <v>29.24696288292127</v>
      </c>
      <c r="E23" s="4">
        <f t="shared" si="3"/>
        <v>1.7744624945870646</v>
      </c>
      <c r="F23" s="4">
        <v>1.5304473339293398</v>
      </c>
      <c r="G23">
        <v>0.52249716400000001</v>
      </c>
      <c r="H23" s="4">
        <f t="shared" si="0"/>
        <v>1.2084348991153477</v>
      </c>
      <c r="I23">
        <f t="shared" si="1"/>
        <v>1.0159161534618402</v>
      </c>
      <c r="J23" s="2"/>
      <c r="K23" s="2"/>
      <c r="L23" s="2"/>
    </row>
    <row r="24" spans="1:13" x14ac:dyDescent="0.2">
      <c r="A24" s="2">
        <v>2015</v>
      </c>
      <c r="B24" s="3">
        <v>1.2688084790804028</v>
      </c>
      <c r="C24" s="4">
        <v>175.08981372773982</v>
      </c>
      <c r="D24" s="4">
        <v>13.232150759711734</v>
      </c>
      <c r="E24" s="4">
        <f t="shared" si="3"/>
        <v>1.1717423075984772</v>
      </c>
      <c r="F24" s="4">
        <v>2.2382149461589003</v>
      </c>
      <c r="G24">
        <v>0.49150009900000002</v>
      </c>
      <c r="H24" s="4">
        <f t="shared" si="0"/>
        <v>1.7672852849602669</v>
      </c>
      <c r="I24">
        <f t="shared" si="1"/>
        <v>0.95564708175563162</v>
      </c>
      <c r="J24" s="2"/>
      <c r="K24" s="2"/>
      <c r="L24" s="2"/>
    </row>
    <row r="25" spans="1:13" x14ac:dyDescent="0.2">
      <c r="A25" s="2">
        <v>2016</v>
      </c>
      <c r="B25" s="3">
        <v>2.7337495828440761</v>
      </c>
      <c r="C25" s="4">
        <v>845.18984845058264</v>
      </c>
      <c r="D25" s="4">
        <v>29.072149016723593</v>
      </c>
      <c r="E25" s="4">
        <f t="shared" si="3"/>
        <v>2.5246127350281573</v>
      </c>
      <c r="F25" s="4">
        <v>3.9783874920349098</v>
      </c>
      <c r="G25">
        <v>0.50562491600000004</v>
      </c>
      <c r="H25" s="4">
        <f t="shared" si="0"/>
        <v>3.1413183459476914</v>
      </c>
      <c r="I25">
        <f t="shared" si="1"/>
        <v>0.98311063705062729</v>
      </c>
      <c r="J25">
        <v>2327.7983450000002</v>
      </c>
      <c r="K25" s="5">
        <v>13</v>
      </c>
      <c r="L25" s="2">
        <f>J25/$J$35</f>
        <v>1.1162105568038025</v>
      </c>
      <c r="M25">
        <f>K25/$K$35</f>
        <v>1.1789600967351876</v>
      </c>
    </row>
    <row r="26" spans="1:13" x14ac:dyDescent="0.2">
      <c r="A26" s="2">
        <v>2017</v>
      </c>
      <c r="B26" s="3">
        <v>1.6701857734379826</v>
      </c>
      <c r="C26" s="4">
        <v>664.54713672630839</v>
      </c>
      <c r="D26" s="4">
        <v>25.778811778790512</v>
      </c>
      <c r="E26" s="4">
        <f t="shared" si="3"/>
        <v>1.5424135041285096</v>
      </c>
      <c r="F26" s="4">
        <v>1.8935208160716499</v>
      </c>
      <c r="G26">
        <v>0.58741849300000004</v>
      </c>
      <c r="H26" s="4">
        <f t="shared" si="0"/>
        <v>1.4951162223057592</v>
      </c>
      <c r="I26">
        <f t="shared" si="1"/>
        <v>1.1421457894858755</v>
      </c>
      <c r="J26">
        <v>1806.2367320000001</v>
      </c>
      <c r="K26" s="5">
        <v>15</v>
      </c>
      <c r="L26" s="2">
        <f>J26/$J$35</f>
        <v>0.86611476147655764</v>
      </c>
      <c r="M26">
        <f t="shared" ref="M26:M34" si="4">K26/$K$35</f>
        <v>1.3603385731559856</v>
      </c>
    </row>
    <row r="27" spans="1:13" x14ac:dyDescent="0.2">
      <c r="A27" s="2">
        <v>2018</v>
      </c>
      <c r="B27" s="3">
        <v>0.38155476587767545</v>
      </c>
      <c r="C27" s="4">
        <v>12.186954137321729</v>
      </c>
      <c r="D27" s="4">
        <v>3.4909818299902007</v>
      </c>
      <c r="E27" s="4">
        <f t="shared" si="3"/>
        <v>0.35236512776832807</v>
      </c>
      <c r="F27" s="4">
        <v>0.60233053980641205</v>
      </c>
      <c r="G27">
        <v>0.40700412000000002</v>
      </c>
      <c r="H27" s="4">
        <f t="shared" si="0"/>
        <v>0.47559770857078071</v>
      </c>
      <c r="I27">
        <f t="shared" si="1"/>
        <v>0.79135752023626538</v>
      </c>
      <c r="J27">
        <v>2354.6344389999999</v>
      </c>
      <c r="K27" s="5">
        <v>12</v>
      </c>
      <c r="L27" s="2">
        <f>J27/$J$35</f>
        <v>1.1290788241477159</v>
      </c>
      <c r="M27">
        <f t="shared" si="4"/>
        <v>1.0882708585247884</v>
      </c>
    </row>
    <row r="28" spans="1:13" x14ac:dyDescent="0.2">
      <c r="A28" s="2">
        <v>2019</v>
      </c>
      <c r="B28" s="3">
        <v>1.3424154254990419</v>
      </c>
      <c r="C28" s="4">
        <v>297.92105211622822</v>
      </c>
      <c r="D28" s="4">
        <v>17.260389686105821</v>
      </c>
      <c r="E28" s="4">
        <f t="shared" si="3"/>
        <v>1.2397181878624268</v>
      </c>
      <c r="F28" s="4">
        <v>2.5669860461931497</v>
      </c>
      <c r="G28">
        <v>0.54793444599999996</v>
      </c>
      <c r="H28" s="4">
        <f t="shared" si="0"/>
        <v>2.0268815887950993</v>
      </c>
      <c r="I28">
        <f t="shared" si="1"/>
        <v>1.0653750739392804</v>
      </c>
      <c r="J28">
        <v>3567.0277970000002</v>
      </c>
      <c r="K28" s="6">
        <v>11.28</v>
      </c>
      <c r="L28" s="2">
        <f>J28/$J$35</f>
        <v>1.7104377155247144</v>
      </c>
      <c r="M28">
        <f t="shared" si="4"/>
        <v>1.0229746070133012</v>
      </c>
    </row>
    <row r="29" spans="1:13" x14ac:dyDescent="0.2">
      <c r="A29" s="2">
        <v>2020</v>
      </c>
      <c r="B29" s="3">
        <v>6.1595910944935417</v>
      </c>
      <c r="C29" s="4">
        <v>3950.5045195856692</v>
      </c>
      <c r="D29" s="4">
        <v>62.85303906403945</v>
      </c>
      <c r="E29" s="4">
        <f t="shared" si="3"/>
        <v>5.6883710992819827</v>
      </c>
      <c r="F29" s="4">
        <v>6.9161497884113796</v>
      </c>
      <c r="G29">
        <v>0.448729722</v>
      </c>
      <c r="H29" s="4">
        <f t="shared" si="0"/>
        <v>5.4609633317910777</v>
      </c>
      <c r="I29">
        <f t="shared" si="1"/>
        <v>0.87248659806743156</v>
      </c>
      <c r="L29" s="2"/>
    </row>
    <row r="30" spans="1:13" x14ac:dyDescent="0.2">
      <c r="A30" s="2">
        <v>2021</v>
      </c>
      <c r="B30" s="3"/>
      <c r="C30" s="4"/>
      <c r="D30" s="4"/>
      <c r="E30" s="4"/>
      <c r="F30" s="4"/>
      <c r="H30" s="4"/>
      <c r="J30">
        <v>2601.157925</v>
      </c>
      <c r="K30">
        <v>12.02</v>
      </c>
      <c r="L30" s="2">
        <f>J30/$J$35</f>
        <v>1.2472901452289988</v>
      </c>
      <c r="M30">
        <f t="shared" si="4"/>
        <v>1.0900846432889963</v>
      </c>
    </row>
    <row r="31" spans="1:13" x14ac:dyDescent="0.2">
      <c r="A31" s="2">
        <v>2022</v>
      </c>
      <c r="B31" s="3">
        <v>0.25096329027872194</v>
      </c>
      <c r="C31" s="4">
        <v>10.315601631543169</v>
      </c>
      <c r="D31" s="4">
        <v>3.2117910317365244</v>
      </c>
      <c r="E31" s="4">
        <f>B31/$B$35</f>
        <v>0.23176413912904001</v>
      </c>
      <c r="F31" s="4">
        <v>0.32881100520864198</v>
      </c>
      <c r="G31">
        <v>0.68890839000000004</v>
      </c>
      <c r="H31" s="4">
        <f t="shared" si="0"/>
        <v>0.25962781279585456</v>
      </c>
      <c r="I31">
        <f t="shared" si="1"/>
        <v>1.3394774361998054</v>
      </c>
      <c r="J31">
        <v>1627.815914</v>
      </c>
      <c r="K31" s="7">
        <v>10.84</v>
      </c>
      <c r="L31" s="2">
        <f>J31/$J$35</f>
        <v>0.78055958397033343</v>
      </c>
      <c r="M31">
        <f t="shared" si="4"/>
        <v>0.98307134220072556</v>
      </c>
    </row>
    <row r="32" spans="1:13" x14ac:dyDescent="0.2">
      <c r="A32" s="2">
        <v>2023</v>
      </c>
      <c r="B32" s="8">
        <v>0.67425186947654658</v>
      </c>
      <c r="C32" s="4">
        <v>30.583198005621398</v>
      </c>
      <c r="D32" s="4">
        <v>5.5302077723736023</v>
      </c>
      <c r="E32" s="4">
        <f>B32/$B$35</f>
        <v>0.62267036709562484</v>
      </c>
      <c r="F32" s="4">
        <v>0.76881941889166006</v>
      </c>
      <c r="G32">
        <v>0.45238323400000002</v>
      </c>
      <c r="H32" s="4">
        <f t="shared" si="0"/>
        <v>0.60705664044049901</v>
      </c>
      <c r="I32">
        <f t="shared" si="1"/>
        <v>0.8795902956822701</v>
      </c>
      <c r="J32">
        <v>1591.8727289999999</v>
      </c>
      <c r="K32" s="9">
        <v>8</v>
      </c>
      <c r="L32" s="2">
        <f>J32/$J$35</f>
        <v>0.76332434423046136</v>
      </c>
      <c r="M32">
        <f t="shared" si="4"/>
        <v>0.7255139056831923</v>
      </c>
    </row>
    <row r="33" spans="1:13" x14ac:dyDescent="0.2">
      <c r="A33" s="10">
        <v>2024</v>
      </c>
      <c r="B33" s="11">
        <v>4.0763432420740378</v>
      </c>
      <c r="C33" s="12">
        <v>797.11690975171007</v>
      </c>
      <c r="D33" s="12">
        <v>28.233258928995607</v>
      </c>
      <c r="E33" s="12">
        <f>B33/$B$35</f>
        <v>3.7644955214147924</v>
      </c>
      <c r="F33" s="12">
        <v>3.0396394796627502</v>
      </c>
      <c r="G33" s="13">
        <v>0.43012053099999997</v>
      </c>
      <c r="H33" s="12">
        <f t="shared" si="0"/>
        <v>2.4000867893457838</v>
      </c>
      <c r="I33" s="13">
        <f t="shared" si="1"/>
        <v>0.8363038605478138</v>
      </c>
      <c r="J33">
        <v>1778.0281170000001</v>
      </c>
      <c r="K33" s="9">
        <v>6.1</v>
      </c>
      <c r="L33" s="2">
        <f>J33/$J$35</f>
        <v>0.85258835188723636</v>
      </c>
      <c r="M33">
        <f t="shared" si="4"/>
        <v>0.55320435308343407</v>
      </c>
    </row>
    <row r="34" spans="1:13" x14ac:dyDescent="0.2">
      <c r="A34" s="2">
        <v>2025</v>
      </c>
      <c r="B34" s="8"/>
      <c r="C34" s="4"/>
      <c r="D34" s="4"/>
      <c r="E34" s="4"/>
      <c r="F34" s="4"/>
      <c r="H34" s="4"/>
      <c r="J34">
        <v>1114.4541300000001</v>
      </c>
      <c r="K34" s="9">
        <v>11</v>
      </c>
      <c r="L34" s="2">
        <f>J34/$J$35</f>
        <v>0.53439571673017805</v>
      </c>
      <c r="M34">
        <f t="shared" si="4"/>
        <v>0.99758162031438946</v>
      </c>
    </row>
    <row r="35" spans="1:13" x14ac:dyDescent="0.2">
      <c r="A35" s="14" t="s">
        <v>12</v>
      </c>
      <c r="B35" s="15">
        <f>AVERAGE(B2:B33)</f>
        <v>1.0828391796152397</v>
      </c>
      <c r="C35" s="14"/>
      <c r="D35" s="14"/>
      <c r="E35" s="15"/>
      <c r="F35" s="15">
        <f>AVERAGE(F2:F33)</f>
        <v>1.2664706514597732</v>
      </c>
      <c r="G35" s="15">
        <f>AVERAGE(G2:G33)</f>
        <v>0.51431130632142863</v>
      </c>
      <c r="H35" s="15"/>
      <c r="I35" s="15"/>
      <c r="J35" s="15">
        <f>AVERAGE(J25:J34)</f>
        <v>2085.447347555556</v>
      </c>
      <c r="K35" s="15">
        <f>AVERAGE(K25:K34)</f>
        <v>11.026666666666666</v>
      </c>
      <c r="L35" s="14"/>
      <c r="M35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IEO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Vila</dc:creator>
  <cp:lastModifiedBy>Mauricio Mardones</cp:lastModifiedBy>
  <dcterms:created xsi:type="dcterms:W3CDTF">2025-12-11T11:59:45Z</dcterms:created>
  <dcterms:modified xsi:type="dcterms:W3CDTF">2025-12-11T15:53:08Z</dcterms:modified>
</cp:coreProperties>
</file>