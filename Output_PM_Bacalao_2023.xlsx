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ciomardones/IFOP/CBA/BACALAO/SA/"/>
    </mc:Choice>
  </mc:AlternateContent>
  <xr:revisionPtr revIDLastSave="0" documentId="13_ncr:1_{31667BBE-7379-0B40-B57D-2168F77EDAA4}" xr6:coauthVersionLast="47" xr6:coauthVersionMax="47" xr10:uidLastSave="{00000000-0000-0000-0000-000000000000}"/>
  <bookViews>
    <workbookView xWindow="1340" yWindow="600" windowWidth="28040" windowHeight="17440" activeTab="1" xr2:uid="{4482C962-4B45-8D46-BCA7-E5A0118089E6}"/>
  </bookViews>
  <sheets>
    <sheet name="S1" sheetId="1" r:id="rId1"/>
    <sheet name="CP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<sst xmlns="http://schemas.openxmlformats.org/spreadsheetml/2006/main" count="191" uniqueCount="143">
  <si>
    <t>Priors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</si>
  <si>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</si>
  <si>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</si>
  <si>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</si>
  <si>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</si>
  <si>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</si>
  <si>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</si>
  <si>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</si>
  <si>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</si>
  <si>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</si>
  <si>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</si>
  <si>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</si>
  <si>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</si>
  <si>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</si>
  <si>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</si>
  <si>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</si>
  <si>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</si>
  <si>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</si>
  <si>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</si>
  <si>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</si>
  <si>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</si>
  <si>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</si>
  <si>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</si>
  <si>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</si>
  <si>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</si>
  <si>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</si>
  <si>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</si>
  <si>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</si>
  <si>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</si>
  <si>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</si>
  <si>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</si>
  <si>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</si>
  <si>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</si>
  <si>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</si>
  <si>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</si>
  <si>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</si>
  <si>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</si>
  <si>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</si>
  <si>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</si>
  <si>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</si>
  <si>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</si>
  <si>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</si>
  <si>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</si>
  <si>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</si>
  <si>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</si>
  <si>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</si>
  <si>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</si>
  <si>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Convergence:</t>
  </si>
  <si>
    <t>MSG:</t>
  </si>
  <si>
    <t>relative</t>
  </si>
  <si>
    <t>convergence</t>
  </si>
  <si>
    <t>Objective</t>
  </si>
  <si>
    <t>function</t>
  </si>
  <si>
    <t>at</t>
  </si>
  <si>
    <t>optimum:</t>
  </si>
  <si>
    <t>Euler</t>
  </si>
  <si>
    <t>time</t>
  </si>
  <si>
    <t>step</t>
  </si>
  <si>
    <t>(years):</t>
  </si>
  <si>
    <t>or</t>
  </si>
  <si>
    <t>Nobs</t>
  </si>
  <si>
    <t>C:</t>
  </si>
  <si>
    <t>I1:</t>
  </si>
  <si>
    <t>logFFmsy2004.00</t>
  </si>
  <si>
    <t>~</t>
  </si>
  <si>
    <t>dnorm[log(1)</t>
  </si>
  <si>
    <t>0.1^2]</t>
  </si>
  <si>
    <t>logbkfrac</t>
  </si>
  <si>
    <t>dnorm[log(0.8)</t>
  </si>
  <si>
    <t>0.5^2]</t>
  </si>
  <si>
    <t>logn</t>
  </si>
  <si>
    <t>dnorm[log(2)</t>
  </si>
  <si>
    <t>2^2]</t>
  </si>
  <si>
    <t>logalpha</t>
  </si>
  <si>
    <t>logbeta</t>
  </si>
  <si>
    <t>Fixed</t>
  </si>
  <si>
    <t>parameters</t>
  </si>
  <si>
    <t>Model</t>
  </si>
  <si>
    <t>parameter</t>
  </si>
  <si>
    <t>estimates</t>
  </si>
  <si>
    <t>w</t>
  </si>
  <si>
    <t>CI</t>
  </si>
  <si>
    <t>estimate</t>
  </si>
  <si>
    <t>cilow</t>
  </si>
  <si>
    <t>ciupp</t>
  </si>
  <si>
    <t>log.est</t>
  </si>
  <si>
    <t>alpha</t>
  </si>
  <si>
    <t>beta</t>
  </si>
  <si>
    <t>r</t>
  </si>
  <si>
    <t>rc</t>
  </si>
  <si>
    <t>rold</t>
  </si>
  <si>
    <t>K</t>
  </si>
  <si>
    <t>q</t>
  </si>
  <si>
    <t>sdb</t>
  </si>
  <si>
    <t>sdf</t>
  </si>
  <si>
    <t>sdi</t>
  </si>
  <si>
    <t>sdc</t>
  </si>
  <si>
    <t>Deterministic</t>
  </si>
  <si>
    <t>reference</t>
  </si>
  <si>
    <t>points</t>
  </si>
  <si>
    <t>(Drp)</t>
  </si>
  <si>
    <t>Bmsyd</t>
  </si>
  <si>
    <t>Fmsyd</t>
  </si>
  <si>
    <t>MSYd</t>
  </si>
  <si>
    <t>Stochastic</t>
  </si>
  <si>
    <t>(Srp)</t>
  </si>
  <si>
    <t>rel.diff.Drp</t>
  </si>
  <si>
    <t>Bmsys</t>
  </si>
  <si>
    <t>Fmsys</t>
  </si>
  <si>
    <t>MSYs</t>
  </si>
  <si>
    <t>States</t>
  </si>
  <si>
    <t>(inp$msytype:</t>
  </si>
  <si>
    <t>s)</t>
  </si>
  <si>
    <t>B_2022.94</t>
  </si>
  <si>
    <t>F_2022.94</t>
  </si>
  <si>
    <t>B_2022.94/Bmsy</t>
  </si>
  <si>
    <t>F_2022.94/Fmsy</t>
  </si>
  <si>
    <t>Predictions</t>
  </si>
  <si>
    <t>prediction</t>
  </si>
  <si>
    <t>B_2024.00</t>
  </si>
  <si>
    <t>F_2024.00</t>
  </si>
  <si>
    <t>B_2024.00/Bmsy</t>
  </si>
  <si>
    <t>F_2024.00/Fmsy</t>
  </si>
  <si>
    <t>Catch_2023.00</t>
  </si>
  <si>
    <t>E(B_inf)</t>
  </si>
  <si>
    <t>NA</t>
  </si>
  <si>
    <t>Ratios del proceso y error de observación</t>
  </si>
  <si>
    <t>Tasa de crecimiento intrinseco poblacional</t>
  </si>
  <si>
    <t>Tasa de crecimiento intrinseco poblacional del ultimo año</t>
  </si>
  <si>
    <t>Tasa de crecimiento intrinseco poblacional histórico</t>
  </si>
  <si>
    <t>Capacidad de carga poblacional</t>
  </si>
  <si>
    <t>Capturabilidad</t>
  </si>
  <si>
    <t>Desviación estándar de biomasa</t>
  </si>
  <si>
    <t>Desviación estándar de mortalidad por pesca</t>
  </si>
  <si>
    <t>Desviación estándar de indice</t>
  </si>
  <si>
    <t>Desviación estándar de la captura</t>
  </si>
  <si>
    <t>logm</t>
  </si>
  <si>
    <t>logK</t>
  </si>
  <si>
    <t>logq</t>
  </si>
  <si>
    <t>logsdb</t>
  </si>
  <si>
    <t>logsdf</t>
  </si>
  <si>
    <t>logsdi</t>
  </si>
  <si>
    <t>logsdc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</si>
</sst>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Monaco"/>
      <family val="3"/>
    </font>
    <font>
      <sz val="12"/>
      <color rgb="FF000000"/>
      <name val="Monaco"/>
      <family val="3"/>
    </font>
    <font>
      <sz val="12"/>
      <color rgb="FF000000"/>
      <name val="Calibri"/>
      <family val="2"/>
      <scheme val="minor"/>
    </font>
    <font>
      <sz val="9"/>
      <color rgb="FF000000"/>
      <name val="Lucida Sans"/>
      <family val="2"/>
    </font>
    <font>
      <sz val="9"/>
      <color theme="1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7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CBF-8F69-A34B-8F42-47E89A89DF14}">
  <dimension ref="A1:U55"/>
  <sheetViews>
    <sheetView topLeftCell="A14" workbookViewId="0">
      <selection activeCell="F36" sqref="F36"/>
    </sheetView>
  </sheetViews>
  <sheetFormatPr baseColWidth="10" defaultRowHeight="16" x14ac:dyDescent="0.2"/>
  <cols>
    <col min="2" max="2" width="15.1640625" bestFit="1" customWidth="1"/>
    <col min="3" max="4" width="11" bestFit="1" customWidth="1"/>
    <col min="5" max="5" width="11.6640625" bestFit="1" customWidth="1"/>
    <col min="6" max="7" width="11" bestFit="1" customWidth="1"/>
  </cols>
  <sheetData>
    <row r="1" spans="1:21" x14ac:dyDescent="0.2">
      <c r="A1" s="1"/>
      <c r="C1" t="s">
        <v>47</v>
      </c>
      <c r="D1">
        <v>0</v>
      </c>
      <c r="E1" t="s">
        <v>48</v>
      </c>
      <c r="F1" t="s">
        <v>49</v>
      </c>
      <c r="G1" t="s">
        <v>50</v>
      </c>
      <c r="H1">
        <v>-4</v>
      </c>
    </row>
    <row r="2" spans="1:21" x14ac:dyDescent="0.2">
      <c r="A2" s="1"/>
      <c r="C2" t="s">
        <v>51</v>
      </c>
      <c r="D2" t="s">
        <v>52</v>
      </c>
      <c r="E2" t="s">
        <v>53</v>
      </c>
      <c r="F2" t="s">
        <v>54</v>
      </c>
      <c r="G2">
        <v>44.232505500000002</v>
      </c>
    </row>
    <row r="3" spans="1:21" x14ac:dyDescent="0.2">
      <c r="A3" s="1"/>
      <c r="C3" t="s">
        <v>55</v>
      </c>
      <c r="D3" t="s">
        <v>56</v>
      </c>
      <c r="E3" t="s">
        <v>57</v>
      </c>
      <c r="F3" t="s">
        <v>58</v>
      </c>
      <c r="G3" s="2">
        <v>42370</v>
      </c>
      <c r="H3" t="s">
        <v>59</v>
      </c>
      <c r="I3">
        <v>6.25E-2</v>
      </c>
    </row>
    <row r="4" spans="1:21" x14ac:dyDescent="0.2">
      <c r="A4" s="1"/>
      <c r="C4" t="s">
        <v>60</v>
      </c>
      <c r="D4" t="s">
        <v>61</v>
      </c>
      <c r="E4">
        <v>38</v>
      </c>
      <c r="F4" t="s">
        <v>60</v>
      </c>
      <c r="G4" t="s">
        <v>62</v>
      </c>
      <c r="H4">
        <v>33</v>
      </c>
    </row>
    <row r="5" spans="1:21" x14ac:dyDescent="0.2">
      <c r="A5" s="1"/>
    </row>
    <row r="6" spans="1:21" x14ac:dyDescent="0.2">
      <c r="A6" s="1"/>
      <c r="C6" t="s">
        <v>0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141</v>
      </c>
      <c r="U6" t="s">
        <v>142</v>
      </c>
    </row>
    <row r="7" spans="1:21" x14ac:dyDescent="0.2">
      <c r="A7" s="1"/>
      <c r="C7" t="s">
        <v>63</v>
      </c>
      <c r="D7" t="s">
        <v>64</v>
      </c>
      <c r="E7" t="s">
        <v>65</v>
      </c>
      <c r="F7" t="s">
        <v>66</v>
      </c>
      <c r="N7" t="s">
        <v>136</v>
      </c>
      <c r="O7" s="5">
        <v>0.15058666400000001</v>
      </c>
      <c r="P7" s="5">
        <v>4.8933629999999999E-2</v>
      </c>
      <c r="Q7" s="5">
        <v>7.9679479999999997E-2</v>
      </c>
      <c r="R7" s="5">
        <v>7.160445E-2</v>
      </c>
      <c r="S7" s="5">
        <v>3.0421980000000001E-2</v>
      </c>
      <c r="T7" s="5">
        <v>-6.5089129999999999E-3</v>
      </c>
      <c r="U7" s="5">
        <v>-1.7560965000000001E-2</v>
      </c>
    </row>
    <row r="8" spans="1:21" x14ac:dyDescent="0.2">
      <c r="A8" s="1"/>
      <c r="C8" t="s">
        <v>67</v>
      </c>
      <c r="D8" t="s">
        <v>64</v>
      </c>
      <c r="E8" t="s">
        <v>68</v>
      </c>
      <c r="F8" t="s">
        <v>69</v>
      </c>
      <c r="N8" t="s">
        <v>137</v>
      </c>
      <c r="O8" s="5">
        <v>4.8933629999999999E-2</v>
      </c>
      <c r="P8" s="5">
        <v>0.89756939000000002</v>
      </c>
      <c r="Q8" s="5">
        <v>-0.93179539</v>
      </c>
      <c r="R8" s="5">
        <v>-0.11182412999999999</v>
      </c>
      <c r="S8" s="5">
        <v>-7.6712859999999994E-2</v>
      </c>
      <c r="T8" s="5">
        <v>1.8326808999999999E-2</v>
      </c>
      <c r="U8" s="5">
        <v>2.8263110000000001E-2</v>
      </c>
    </row>
    <row r="9" spans="1:21" x14ac:dyDescent="0.2">
      <c r="A9" s="1"/>
      <c r="C9" t="s">
        <v>70</v>
      </c>
      <c r="D9" t="s">
        <v>64</v>
      </c>
      <c r="E9" t="s">
        <v>71</v>
      </c>
      <c r="F9" t="s">
        <v>72</v>
      </c>
      <c r="N9" t="s">
        <v>138</v>
      </c>
      <c r="O9" s="5">
        <v>7.9679475E-2</v>
      </c>
      <c r="P9" s="5">
        <v>-0.93179539</v>
      </c>
      <c r="Q9" s="5">
        <v>1.12069379</v>
      </c>
      <c r="R9" s="5">
        <v>0.17907118999999999</v>
      </c>
      <c r="S9" s="5">
        <v>9.0069620000000003E-2</v>
      </c>
      <c r="T9" s="5">
        <v>-2.4805384999999999E-2</v>
      </c>
      <c r="U9" s="5">
        <v>-4.0305513000000001E-2</v>
      </c>
    </row>
    <row r="10" spans="1:21" x14ac:dyDescent="0.2">
      <c r="A10" s="1" t="s">
        <v>1</v>
      </c>
      <c r="B10" t="s">
        <v>73</v>
      </c>
      <c r="C10" t="s">
        <v>64</v>
      </c>
      <c r="D10" t="s">
        <v>65</v>
      </c>
      <c r="E10" t="s">
        <v>72</v>
      </c>
      <c r="N10" t="s">
        <v>139</v>
      </c>
      <c r="O10" s="5">
        <v>7.1604447000000002E-2</v>
      </c>
      <c r="P10" s="5">
        <v>-0.11182412999999999</v>
      </c>
      <c r="Q10" s="5">
        <v>0.17907118999999999</v>
      </c>
      <c r="R10" s="5">
        <v>0.15532815</v>
      </c>
      <c r="S10" s="5">
        <v>3.9938540000000002E-2</v>
      </c>
      <c r="T10" s="5">
        <v>-1.3187928999999999E-2</v>
      </c>
      <c r="U10" s="5">
        <v>-3.0122768000000001E-2</v>
      </c>
    </row>
    <row r="11" spans="1:21" x14ac:dyDescent="0.2">
      <c r="A11" s="1" t="s">
        <v>2</v>
      </c>
      <c r="B11" t="s">
        <v>74</v>
      </c>
      <c r="C11" t="s">
        <v>64</v>
      </c>
      <c r="D11" t="s">
        <v>65</v>
      </c>
      <c r="E11" t="s">
        <v>72</v>
      </c>
      <c r="N11" t="s">
        <v>140</v>
      </c>
      <c r="O11" s="5">
        <v>3.0421976999999999E-2</v>
      </c>
      <c r="P11" s="5">
        <v>-7.6712859999999994E-2</v>
      </c>
      <c r="Q11" s="5">
        <v>9.0069620000000003E-2</v>
      </c>
      <c r="R11" s="5">
        <v>3.9938540000000002E-2</v>
      </c>
      <c r="S11" s="5">
        <v>0.24854433000000001</v>
      </c>
      <c r="T11" s="5">
        <v>-2.4927767E-2</v>
      </c>
      <c r="U11" s="5">
        <v>-5.6110857E-2</v>
      </c>
    </row>
    <row r="12" spans="1:21" x14ac:dyDescent="0.2">
      <c r="A12" s="1" t="s">
        <v>3</v>
      </c>
      <c r="N12" t="s">
        <v>141</v>
      </c>
      <c r="O12" s="5">
        <v>-6.5089129999999999E-3</v>
      </c>
      <c r="P12" s="5">
        <v>1.8326809999999999E-2</v>
      </c>
      <c r="Q12" s="5">
        <v>-2.4805379999999998E-2</v>
      </c>
      <c r="R12" s="5">
        <v>-1.318793E-2</v>
      </c>
      <c r="S12" s="5">
        <v>-2.4927769999999998E-2</v>
      </c>
      <c r="T12" s="5">
        <v>2.3000940000000001E-2</v>
      </c>
      <c r="U12" s="5">
        <v>6.145078E-3</v>
      </c>
    </row>
    <row r="13" spans="1:21" x14ac:dyDescent="0.2">
      <c r="A13" s="1" t="s">
        <v>4</v>
      </c>
      <c r="B13" t="s">
        <v>75</v>
      </c>
      <c r="C13" t="s">
        <v>76</v>
      </c>
      <c r="N13" t="s">
        <v>142</v>
      </c>
      <c r="O13" s="5">
        <v>-1.7560965000000001E-2</v>
      </c>
      <c r="P13" s="5">
        <v>2.8263110000000001E-2</v>
      </c>
      <c r="Q13" s="5">
        <v>-4.0305510000000003E-2</v>
      </c>
      <c r="R13" s="5">
        <v>-3.012277E-2</v>
      </c>
      <c r="S13" s="5">
        <v>-5.6110859999999999E-2</v>
      </c>
      <c r="T13" s="5">
        <v>6.145078E-3</v>
      </c>
      <c r="U13" s="5">
        <v>4.6334569999999999E-2</v>
      </c>
    </row>
    <row r="14" spans="1:21" x14ac:dyDescent="0.2">
      <c r="A14" s="1" t="s">
        <v>5</v>
      </c>
    </row>
    <row r="15" spans="1:21" x14ac:dyDescent="0.2">
      <c r="A15" s="1" t="s">
        <v>6</v>
      </c>
      <c r="N15" t="s">
        <v>136</v>
      </c>
    </row>
    <row r="16" spans="1:21" x14ac:dyDescent="0.2">
      <c r="A16" s="1" t="s">
        <v>7</v>
      </c>
      <c r="B16" t="s">
        <v>77</v>
      </c>
      <c r="C16" t="s">
        <v>78</v>
      </c>
      <c r="D16" t="s">
        <v>79</v>
      </c>
      <c r="E16" t="s">
        <v>80</v>
      </c>
      <c r="F16" s="3">
        <v>0.95</v>
      </c>
      <c r="G16" t="s">
        <v>81</v>
      </c>
      <c r="N16" t="s">
        <v>137</v>
      </c>
    </row>
    <row r="17" spans="1:14" x14ac:dyDescent="0.2">
      <c r="A17" s="1" t="s">
        <v>8</v>
      </c>
      <c r="B17" t="s">
        <v>82</v>
      </c>
      <c r="C17" t="s">
        <v>83</v>
      </c>
      <c r="D17" t="s">
        <v>84</v>
      </c>
      <c r="E17" t="s">
        <v>85</v>
      </c>
      <c r="N17" t="s">
        <v>138</v>
      </c>
    </row>
    <row r="18" spans="1:14" x14ac:dyDescent="0.2">
      <c r="A18" s="1" t="s">
        <v>9</v>
      </c>
      <c r="B18" t="s">
        <v>86</v>
      </c>
      <c r="C18" s="4">
        <v>3.8517549999999998</v>
      </c>
      <c r="D18" s="4">
        <v>1.586859</v>
      </c>
      <c r="E18" s="4">
        <v>9.3493010000000005</v>
      </c>
      <c r="F18" s="4">
        <v>1.3485289</v>
      </c>
      <c r="G18" t="s">
        <v>126</v>
      </c>
      <c r="N18" t="s">
        <v>139</v>
      </c>
    </row>
    <row r="19" spans="1:14" x14ac:dyDescent="0.2">
      <c r="A19" s="1" t="s">
        <v>10</v>
      </c>
      <c r="B19" t="s">
        <v>87</v>
      </c>
      <c r="C19" s="4">
        <v>1.2852600000000001</v>
      </c>
      <c r="D19" s="4">
        <v>0.3680329</v>
      </c>
      <c r="E19" s="4">
        <v>4.4884389999999996</v>
      </c>
      <c r="F19" s="4">
        <v>0.25096099999999999</v>
      </c>
      <c r="G19" t="s">
        <v>126</v>
      </c>
      <c r="N19" t="s">
        <v>140</v>
      </c>
    </row>
    <row r="20" spans="1:14" x14ac:dyDescent="0.2">
      <c r="A20" s="1" t="s">
        <v>11</v>
      </c>
      <c r="B20" t="s">
        <v>88</v>
      </c>
      <c r="C20" s="4">
        <v>8.2151500000000002E-2</v>
      </c>
      <c r="D20" s="4">
        <v>1.21574E-2</v>
      </c>
      <c r="E20" s="4">
        <v>0.55512399999999995</v>
      </c>
      <c r="F20" s="4">
        <v>-2.4991905999999999</v>
      </c>
      <c r="G20" t="s">
        <v>127</v>
      </c>
      <c r="N20" t="s">
        <v>141</v>
      </c>
    </row>
    <row r="21" spans="1:14" x14ac:dyDescent="0.2">
      <c r="A21" s="1" t="s">
        <v>12</v>
      </c>
      <c r="B21" t="s">
        <v>89</v>
      </c>
      <c r="C21" s="4">
        <v>8.2151500000000002E-2</v>
      </c>
      <c r="D21" s="4">
        <v>1.21574E-2</v>
      </c>
      <c r="E21" s="4">
        <v>0.55512399999999995</v>
      </c>
      <c r="F21" s="4">
        <v>-2.4991905999999999</v>
      </c>
      <c r="G21" t="s">
        <v>128</v>
      </c>
      <c r="N21" t="s">
        <v>142</v>
      </c>
    </row>
    <row r="22" spans="1:14" x14ac:dyDescent="0.2">
      <c r="A22" s="1" t="s">
        <v>13</v>
      </c>
      <c r="B22" t="s">
        <v>90</v>
      </c>
      <c r="C22" s="4">
        <v>8.2151500000000002E-2</v>
      </c>
      <c r="D22" s="4">
        <v>1.21574E-2</v>
      </c>
      <c r="E22" s="4">
        <v>0.55512399999999995</v>
      </c>
      <c r="F22" s="4">
        <v>-2.4991905999999999</v>
      </c>
      <c r="G22" t="s">
        <v>129</v>
      </c>
    </row>
    <row r="23" spans="1:14" x14ac:dyDescent="0.2">
      <c r="A23" s="1" t="s">
        <v>14</v>
      </c>
      <c r="B23" t="s">
        <v>91</v>
      </c>
      <c r="C23" s="4">
        <v>155992</v>
      </c>
      <c r="D23" s="4">
        <v>24359.75</v>
      </c>
      <c r="E23" s="4">
        <v>998922.7</v>
      </c>
      <c r="F23" s="4">
        <v>11.9575601</v>
      </c>
      <c r="G23" t="s">
        <v>130</v>
      </c>
    </row>
    <row r="24" spans="1:14" x14ac:dyDescent="0.2">
      <c r="A24" s="1" t="s">
        <v>15</v>
      </c>
      <c r="B24" t="s">
        <v>92</v>
      </c>
      <c r="C24" s="6">
        <v>1.7053999999999999E-3</v>
      </c>
      <c r="D24" s="4">
        <v>2.142E-4</v>
      </c>
      <c r="E24" s="4">
        <v>1.3581299999999999E-2</v>
      </c>
      <c r="F24" s="4">
        <v>-6.3739315999999997</v>
      </c>
      <c r="G24" t="s">
        <v>131</v>
      </c>
    </row>
    <row r="25" spans="1:14" x14ac:dyDescent="0.2">
      <c r="A25" s="1" t="s">
        <v>16</v>
      </c>
      <c r="B25" t="s">
        <v>93</v>
      </c>
      <c r="C25" s="4">
        <v>0.1347573</v>
      </c>
      <c r="D25" s="4">
        <v>6.2241400000000002E-2</v>
      </c>
      <c r="E25" s="4">
        <v>0.29175970000000001</v>
      </c>
      <c r="F25" s="4">
        <v>-2.0042795999999998</v>
      </c>
      <c r="G25" t="s">
        <v>132</v>
      </c>
    </row>
    <row r="26" spans="1:14" x14ac:dyDescent="0.2">
      <c r="A26" s="1" t="s">
        <v>17</v>
      </c>
      <c r="B26" t="s">
        <v>94</v>
      </c>
      <c r="C26" s="4">
        <v>0.13913790000000001</v>
      </c>
      <c r="D26" s="4">
        <v>5.2370300000000002E-2</v>
      </c>
      <c r="E26" s="4">
        <v>0.3696623</v>
      </c>
      <c r="F26" s="4">
        <v>-1.9722900000000001</v>
      </c>
      <c r="G26" t="s">
        <v>133</v>
      </c>
    </row>
    <row r="27" spans="1:14" x14ac:dyDescent="0.2">
      <c r="A27" s="1" t="s">
        <v>18</v>
      </c>
      <c r="B27" t="s">
        <v>95</v>
      </c>
      <c r="C27" s="4">
        <v>0.51905230000000002</v>
      </c>
      <c r="D27" s="4">
        <v>0.38558249999999999</v>
      </c>
      <c r="E27" s="4">
        <v>0.69872270000000003</v>
      </c>
      <c r="F27" s="4">
        <v>-0.65575070000000002</v>
      </c>
      <c r="G27" t="s">
        <v>134</v>
      </c>
    </row>
    <row r="28" spans="1:14" x14ac:dyDescent="0.2">
      <c r="A28" s="1" t="s">
        <v>19</v>
      </c>
      <c r="B28" t="s">
        <v>96</v>
      </c>
      <c r="C28" s="4">
        <v>0.1788283</v>
      </c>
      <c r="D28" s="4">
        <v>0.11727659999999999</v>
      </c>
      <c r="E28" s="4">
        <v>0.27268510000000001</v>
      </c>
      <c r="F28" s="4">
        <v>-1.7213290000000001</v>
      </c>
      <c r="G28" t="s">
        <v>135</v>
      </c>
    </row>
    <row r="29" spans="1:14" x14ac:dyDescent="0.2">
      <c r="A29" s="1" t="s">
        <v>20</v>
      </c>
    </row>
    <row r="30" spans="1:14" x14ac:dyDescent="0.2">
      <c r="A30" s="1" t="s">
        <v>21</v>
      </c>
      <c r="B30" s="5" t="s">
        <v>97</v>
      </c>
      <c r="C30" s="5" t="s">
        <v>98</v>
      </c>
      <c r="D30" s="5" t="s">
        <v>99</v>
      </c>
      <c r="E30" s="5" t="s">
        <v>100</v>
      </c>
      <c r="F30" s="5"/>
      <c r="G30" s="5"/>
    </row>
    <row r="31" spans="1:14" x14ac:dyDescent="0.2">
      <c r="A31" s="1" t="s">
        <v>22</v>
      </c>
      <c r="B31" s="5" t="s">
        <v>82</v>
      </c>
      <c r="C31" s="5" t="s">
        <v>83</v>
      </c>
      <c r="D31" s="5" t="s">
        <v>84</v>
      </c>
      <c r="E31" s="5" t="s">
        <v>85</v>
      </c>
      <c r="F31" s="5"/>
      <c r="G31" s="5"/>
    </row>
    <row r="32" spans="1:14" x14ac:dyDescent="0.2">
      <c r="A32" s="1" t="s">
        <v>23</v>
      </c>
      <c r="B32" s="5" t="s">
        <v>101</v>
      </c>
      <c r="C32" s="5">
        <v>77996.009999999995</v>
      </c>
      <c r="D32" s="5">
        <v>12179.88</v>
      </c>
      <c r="E32" s="5">
        <v>499461.4</v>
      </c>
      <c r="F32" s="5">
        <v>11.264412999999999</v>
      </c>
      <c r="G32" s="5"/>
    </row>
    <row r="33" spans="1:7" x14ac:dyDescent="0.2">
      <c r="A33" s="1" t="s">
        <v>24</v>
      </c>
      <c r="B33" s="5" t="s">
        <v>102</v>
      </c>
      <c r="C33" s="5">
        <v>4.10757E-2</v>
      </c>
      <c r="D33" s="5">
        <v>6.0787000000000002E-3</v>
      </c>
      <c r="E33" s="5">
        <v>0.27756199999999998</v>
      </c>
      <c r="F33" s="5">
        <v>-3.1923379999999999</v>
      </c>
      <c r="G33" s="5"/>
    </row>
    <row r="34" spans="1:7" x14ac:dyDescent="0.2">
      <c r="A34" s="1" t="s">
        <v>25</v>
      </c>
      <c r="B34" s="5" t="s">
        <v>103</v>
      </c>
      <c r="C34" s="5">
        <v>3203.7429999999999</v>
      </c>
      <c r="D34" s="5">
        <v>1497.424</v>
      </c>
      <c r="E34" s="5">
        <v>6854.4189999999999</v>
      </c>
      <c r="F34" s="5">
        <v>8.0720749999999999</v>
      </c>
      <c r="G34" s="5"/>
    </row>
    <row r="35" spans="1:7" x14ac:dyDescent="0.2">
      <c r="A35" s="1" t="s">
        <v>26</v>
      </c>
      <c r="B35" s="5" t="s">
        <v>104</v>
      </c>
      <c r="C35" s="5" t="s">
        <v>98</v>
      </c>
      <c r="D35" s="5" t="s">
        <v>99</v>
      </c>
      <c r="E35" s="5" t="s">
        <v>105</v>
      </c>
      <c r="F35" s="5"/>
      <c r="G35" s="5"/>
    </row>
    <row r="36" spans="1:7" x14ac:dyDescent="0.2">
      <c r="A36" s="1" t="s">
        <v>27</v>
      </c>
      <c r="B36" s="5" t="s">
        <v>82</v>
      </c>
      <c r="C36" s="5" t="s">
        <v>83</v>
      </c>
      <c r="D36" s="5" t="s">
        <v>84</v>
      </c>
      <c r="E36" s="5" t="s">
        <v>85</v>
      </c>
      <c r="F36" s="5" t="s">
        <v>106</v>
      </c>
      <c r="G36" s="5"/>
    </row>
    <row r="37" spans="1:7" x14ac:dyDescent="0.2">
      <c r="A37" s="1" t="s">
        <v>28</v>
      </c>
      <c r="B37" s="5" t="s">
        <v>107</v>
      </c>
      <c r="C37" s="5">
        <v>69010.210000000006</v>
      </c>
      <c r="D37" s="5">
        <v>12533.797951</v>
      </c>
      <c r="E37" s="5">
        <v>379965.4</v>
      </c>
      <c r="F37" s="5">
        <v>11.142010000000001</v>
      </c>
      <c r="G37" s="5">
        <v>-0.13020970000000001</v>
      </c>
    </row>
    <row r="38" spans="1:7" x14ac:dyDescent="0.2">
      <c r="A38" s="1" t="s">
        <v>29</v>
      </c>
      <c r="B38" s="5" t="s">
        <v>108</v>
      </c>
      <c r="C38" s="5">
        <v>3.6537800000000002E-2</v>
      </c>
      <c r="D38" s="5">
        <v>4.6410000000000002E-3</v>
      </c>
      <c r="E38" s="5">
        <v>0.28765869999999999</v>
      </c>
      <c r="F38" s="5">
        <v>-3.3094070000000002</v>
      </c>
      <c r="G38" s="5">
        <v>-0.1241983</v>
      </c>
    </row>
    <row r="39" spans="1:7" x14ac:dyDescent="0.2">
      <c r="A39" s="1" t="s">
        <v>30</v>
      </c>
      <c r="B39" s="5" t="s">
        <v>109</v>
      </c>
      <c r="C39" s="5">
        <v>2480.7080000000001</v>
      </c>
      <c r="D39" s="5">
        <v>1045.713156</v>
      </c>
      <c r="E39" s="5">
        <v>5884.893</v>
      </c>
      <c r="F39" s="5">
        <v>7.8162989999999999</v>
      </c>
      <c r="G39" s="5">
        <v>-0.29146339999999998</v>
      </c>
    </row>
    <row r="40" spans="1:7" x14ac:dyDescent="0.2">
      <c r="A40" s="1" t="s">
        <v>31</v>
      </c>
      <c r="B40" s="5"/>
      <c r="C40" s="5"/>
      <c r="D40" s="5"/>
      <c r="E40" s="5"/>
      <c r="F40" s="5"/>
      <c r="G40" s="5"/>
    </row>
    <row r="41" spans="1:7" x14ac:dyDescent="0.2">
      <c r="A41" s="1" t="s">
        <v>32</v>
      </c>
      <c r="B41" s="5" t="s">
        <v>110</v>
      </c>
      <c r="C41" s="5" t="s">
        <v>80</v>
      </c>
      <c r="D41" s="5">
        <v>0.95</v>
      </c>
      <c r="E41" s="5" t="s">
        <v>81</v>
      </c>
      <c r="F41" s="5" t="s">
        <v>111</v>
      </c>
      <c r="G41" s="5" t="s">
        <v>112</v>
      </c>
    </row>
    <row r="42" spans="1:7" x14ac:dyDescent="0.2">
      <c r="A42" s="1" t="s">
        <v>33</v>
      </c>
      <c r="B42" s="5" t="s">
        <v>82</v>
      </c>
      <c r="C42" s="5" t="s">
        <v>83</v>
      </c>
      <c r="D42" s="5" t="s">
        <v>84</v>
      </c>
      <c r="E42" s="5" t="s">
        <v>85</v>
      </c>
      <c r="F42" s="5"/>
      <c r="G42" s="5"/>
    </row>
    <row r="43" spans="1:7" x14ac:dyDescent="0.2">
      <c r="A43" s="1" t="s">
        <v>34</v>
      </c>
      <c r="B43" s="5" t="s">
        <v>113</v>
      </c>
      <c r="C43" s="5">
        <v>60368.47</v>
      </c>
      <c r="D43" s="5">
        <v>8346.4254830999998</v>
      </c>
      <c r="E43" s="5">
        <v>436636.3</v>
      </c>
      <c r="F43" s="5">
        <v>11.0082223</v>
      </c>
      <c r="G43" s="5"/>
    </row>
    <row r="44" spans="1:7" x14ac:dyDescent="0.2">
      <c r="A44" s="1" t="s">
        <v>35</v>
      </c>
      <c r="B44" s="5" t="s">
        <v>114</v>
      </c>
      <c r="C44" s="5">
        <v>3.0811499999999999E-2</v>
      </c>
      <c r="D44" s="5">
        <v>3.9302E-3</v>
      </c>
      <c r="E44" s="5">
        <v>0.24155450000000001</v>
      </c>
      <c r="F44" s="5">
        <v>-3.4798665</v>
      </c>
      <c r="G44" s="5"/>
    </row>
    <row r="45" spans="1:7" x14ac:dyDescent="0.2">
      <c r="A45" s="1" t="s">
        <v>36</v>
      </c>
      <c r="B45" s="5" t="s">
        <v>115</v>
      </c>
      <c r="C45" s="5">
        <v>0.874776</v>
      </c>
      <c r="D45" s="5">
        <v>0.37946410000000003</v>
      </c>
      <c r="E45" s="5">
        <v>2.0166149999999998</v>
      </c>
      <c r="F45" s="5">
        <v>-0.1337875</v>
      </c>
      <c r="G45" s="5"/>
    </row>
    <row r="46" spans="1:7" x14ac:dyDescent="0.2">
      <c r="A46" s="1" t="s">
        <v>37</v>
      </c>
      <c r="B46" s="5" t="s">
        <v>116</v>
      </c>
      <c r="C46" s="5">
        <v>0.8432771</v>
      </c>
      <c r="D46" s="5">
        <v>0.43843539999999998</v>
      </c>
      <c r="E46" s="5">
        <v>1.6219410000000001</v>
      </c>
      <c r="F46" s="5">
        <v>-0.17045969999999999</v>
      </c>
      <c r="G46" s="5"/>
    </row>
    <row r="47" spans="1:7" x14ac:dyDescent="0.2">
      <c r="A47" s="1" t="s">
        <v>38</v>
      </c>
      <c r="B47" s="5"/>
      <c r="C47" s="5"/>
      <c r="D47" s="5"/>
      <c r="E47" s="5"/>
      <c r="F47" s="5"/>
      <c r="G47" s="5"/>
    </row>
    <row r="48" spans="1:7" x14ac:dyDescent="0.2">
      <c r="A48" s="1" t="s">
        <v>39</v>
      </c>
      <c r="B48" s="5" t="s">
        <v>117</v>
      </c>
      <c r="C48" s="5" t="s">
        <v>80</v>
      </c>
      <c r="D48" s="5">
        <v>0.95</v>
      </c>
      <c r="E48" s="5" t="s">
        <v>81</v>
      </c>
      <c r="F48" s="5" t="s">
        <v>111</v>
      </c>
      <c r="G48" s="5" t="s">
        <v>112</v>
      </c>
    </row>
    <row r="49" spans="1:7" x14ac:dyDescent="0.2">
      <c r="A49" s="1" t="s">
        <v>40</v>
      </c>
      <c r="B49" s="5" t="s">
        <v>118</v>
      </c>
      <c r="C49" s="5" t="s">
        <v>83</v>
      </c>
      <c r="D49" s="5" t="s">
        <v>84</v>
      </c>
      <c r="E49" s="5" t="s">
        <v>85</v>
      </c>
      <c r="F49" s="5"/>
      <c r="G49" s="5"/>
    </row>
    <row r="50" spans="1:7" x14ac:dyDescent="0.2">
      <c r="A50" s="1" t="s">
        <v>41</v>
      </c>
      <c r="B50" s="5" t="s">
        <v>119</v>
      </c>
      <c r="C50" s="5">
        <v>61032.91</v>
      </c>
      <c r="D50" s="5">
        <v>8563.7210501999998</v>
      </c>
      <c r="E50" s="5">
        <v>434976.4</v>
      </c>
      <c r="F50" s="5">
        <v>11.0191686</v>
      </c>
      <c r="G50" s="5"/>
    </row>
    <row r="51" spans="1:7" x14ac:dyDescent="0.2">
      <c r="A51" s="1" t="s">
        <v>42</v>
      </c>
      <c r="B51" s="5" t="s">
        <v>120</v>
      </c>
      <c r="C51" s="5">
        <v>3.0811700000000001E-2</v>
      </c>
      <c r="D51" s="5">
        <v>3.8559000000000002E-3</v>
      </c>
      <c r="E51" s="5">
        <v>0.2462106</v>
      </c>
      <c r="F51" s="5">
        <v>-3.4798610999999999</v>
      </c>
      <c r="G51" s="5"/>
    </row>
    <row r="52" spans="1:7" x14ac:dyDescent="0.2">
      <c r="A52" s="1" t="s">
        <v>43</v>
      </c>
      <c r="B52" s="5" t="s">
        <v>121</v>
      </c>
      <c r="C52" s="5">
        <v>0.88440410000000003</v>
      </c>
      <c r="D52" s="5">
        <v>0.37777549999999999</v>
      </c>
      <c r="E52" s="5">
        <v>2.0704639999999999</v>
      </c>
      <c r="F52" s="5">
        <v>-0.1228412</v>
      </c>
      <c r="G52" s="5"/>
    </row>
    <row r="53" spans="1:7" x14ac:dyDescent="0.2">
      <c r="A53" s="1" t="s">
        <v>44</v>
      </c>
      <c r="B53" s="5" t="s">
        <v>122</v>
      </c>
      <c r="C53" s="5">
        <v>0.84328159999999996</v>
      </c>
      <c r="D53" s="5">
        <v>0.41379690000000002</v>
      </c>
      <c r="E53" s="5">
        <v>1.718534</v>
      </c>
      <c r="F53" s="5">
        <v>-0.1704543</v>
      </c>
      <c r="G53" s="5"/>
    </row>
    <row r="54" spans="1:7" x14ac:dyDescent="0.2">
      <c r="A54" s="1" t="s">
        <v>45</v>
      </c>
      <c r="B54" s="5" t="s">
        <v>123</v>
      </c>
      <c r="C54" s="5">
        <v>1870.327</v>
      </c>
      <c r="D54" s="5">
        <v>1190.3521722999999</v>
      </c>
      <c r="E54" s="5">
        <v>2938.7310000000002</v>
      </c>
      <c r="F54" s="5">
        <v>7.5338687000000002</v>
      </c>
      <c r="G54" s="5"/>
    </row>
    <row r="55" spans="1:7" x14ac:dyDescent="0.2">
      <c r="A55" s="1" t="s">
        <v>46</v>
      </c>
      <c r="B55" s="5" t="s">
        <v>124</v>
      </c>
      <c r="C55" s="5">
        <v>51454.9</v>
      </c>
      <c r="D55" s="5" t="s">
        <v>125</v>
      </c>
      <c r="E55" s="5" t="s">
        <v>125</v>
      </c>
      <c r="F55" s="5">
        <v>10.8484611</v>
      </c>
      <c r="G55" s="5"/>
    </row>
  </sheetData>
  <conditionalFormatting sqref="O7:U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33E1-5BE6-BF4D-BD65-F978BE71D505}">
  <dimension ref="A1:J14"/>
  <sheetViews>
    <sheetView tabSelected="1" workbookViewId="0">
      <selection activeCell="G5" sqref="G5:G14"/>
    </sheetView>
  </sheetViews>
  <sheetFormatPr baseColWidth="10" defaultRowHeight="16" x14ac:dyDescent="0.2"/>
  <sheetData>
    <row r="1" spans="1:10" x14ac:dyDescent="0.2">
      <c r="A1" s="7">
        <v>112.77370000000001</v>
      </c>
      <c r="B1" s="8"/>
      <c r="C1" s="8"/>
    </row>
    <row r="2" spans="1:10" x14ac:dyDescent="0.2">
      <c r="A2" s="9">
        <v>-47.357940599999999</v>
      </c>
      <c r="B2" s="9">
        <v>65.41574</v>
      </c>
      <c r="C2" s="9">
        <v>160.131641</v>
      </c>
    </row>
    <row r="3" spans="1:10" x14ac:dyDescent="0.2">
      <c r="A3" s="9">
        <v>-25.9057849</v>
      </c>
      <c r="B3" s="9">
        <v>86.867900000000006</v>
      </c>
      <c r="C3" s="9">
        <v>138.679485</v>
      </c>
    </row>
    <row r="4" spans="1:10" x14ac:dyDescent="0.2">
      <c r="A4" s="9">
        <v>-18.6103153</v>
      </c>
      <c r="B4" s="9">
        <v>94.16337</v>
      </c>
      <c r="C4" s="9">
        <v>131.38401500000001</v>
      </c>
    </row>
    <row r="5" spans="1:10" x14ac:dyDescent="0.2">
      <c r="A5" s="9">
        <v>-36.999718600000001</v>
      </c>
      <c r="B5" s="9">
        <v>75.773960000000002</v>
      </c>
      <c r="C5" s="9">
        <v>149.77341899999999</v>
      </c>
      <c r="F5" s="10">
        <v>1986</v>
      </c>
      <c r="G5" s="10">
        <v>662</v>
      </c>
      <c r="H5" s="10"/>
      <c r="I5" s="10"/>
      <c r="J5" s="10"/>
    </row>
    <row r="6" spans="1:10" x14ac:dyDescent="0.2">
      <c r="A6" s="9">
        <v>-54.458502799999998</v>
      </c>
      <c r="B6" s="9">
        <v>58.315179999999998</v>
      </c>
      <c r="C6" s="9">
        <v>167.232203</v>
      </c>
      <c r="F6" s="10">
        <v>1987</v>
      </c>
      <c r="G6" s="10">
        <v>1303</v>
      </c>
      <c r="H6" s="10"/>
      <c r="I6" s="10"/>
      <c r="J6" s="10"/>
    </row>
    <row r="7" spans="1:10" x14ac:dyDescent="0.2">
      <c r="A7" s="9">
        <v>-24.277656199999999</v>
      </c>
      <c r="B7" s="9">
        <v>88.496030000000005</v>
      </c>
      <c r="C7" s="9">
        <v>137.051356</v>
      </c>
      <c r="F7" s="10">
        <v>1988</v>
      </c>
      <c r="G7" s="10">
        <v>1348</v>
      </c>
      <c r="H7" s="10"/>
      <c r="I7" s="10"/>
      <c r="J7" s="10"/>
    </row>
    <row r="8" spans="1:10" x14ac:dyDescent="0.2">
      <c r="A8" s="9">
        <v>-50.011460900000003</v>
      </c>
      <c r="B8" s="9">
        <v>62.762219999999999</v>
      </c>
      <c r="C8" s="9">
        <v>162.78516099999999</v>
      </c>
      <c r="F8" s="10">
        <v>1989</v>
      </c>
      <c r="G8" s="10">
        <v>1974</v>
      </c>
      <c r="H8" s="10"/>
      <c r="I8" s="10"/>
      <c r="J8" s="10"/>
    </row>
    <row r="9" spans="1:10" x14ac:dyDescent="0.2">
      <c r="A9" s="9">
        <v>10.4713312</v>
      </c>
      <c r="B9" s="9">
        <v>123.24500999999999</v>
      </c>
      <c r="C9" s="9">
        <v>102.302369</v>
      </c>
      <c r="F9" s="10">
        <v>1990</v>
      </c>
      <c r="G9" s="10">
        <v>2103</v>
      </c>
      <c r="H9" s="10"/>
      <c r="I9" s="10"/>
      <c r="J9" s="10"/>
    </row>
    <row r="10" spans="1:10" x14ac:dyDescent="0.2">
      <c r="A10" s="9">
        <v>-0.37142429999999999</v>
      </c>
      <c r="B10" s="9">
        <v>112.40226</v>
      </c>
      <c r="C10" s="9">
        <v>113.145124</v>
      </c>
      <c r="F10" s="10">
        <v>1991</v>
      </c>
      <c r="G10" s="10">
        <v>1609</v>
      </c>
      <c r="H10" s="10"/>
      <c r="I10" s="10"/>
      <c r="J10" s="10"/>
    </row>
    <row r="11" spans="1:10" x14ac:dyDescent="0.2">
      <c r="F11" s="10">
        <v>1992</v>
      </c>
      <c r="G11" s="10">
        <v>1228</v>
      </c>
      <c r="H11" s="10"/>
      <c r="I11" s="10"/>
      <c r="J11" s="10"/>
    </row>
    <row r="12" spans="1:10" x14ac:dyDescent="0.2">
      <c r="F12" s="10">
        <v>1993</v>
      </c>
      <c r="G12" s="10">
        <v>1452</v>
      </c>
      <c r="H12" s="10"/>
      <c r="I12" s="10"/>
      <c r="J12" s="10"/>
    </row>
    <row r="13" spans="1:10" x14ac:dyDescent="0.2">
      <c r="F13" s="10">
        <v>1994</v>
      </c>
      <c r="G13" s="10">
        <v>2086</v>
      </c>
      <c r="H13" s="10"/>
      <c r="I13" s="10"/>
      <c r="J13" s="10"/>
    </row>
    <row r="14" spans="1:10" x14ac:dyDescent="0.2">
      <c r="F14" s="10">
        <v>1995</v>
      </c>
      <c r="G14" s="10">
        <v>1705</v>
      </c>
      <c r="H14" s="11"/>
      <c r="I14" s="11"/>
      <c r="J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CPUE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Mardones</dc:creator>
  <cp:lastModifiedBy>Mauricio Mardones</cp:lastModifiedBy>
  <dcterms:created xsi:type="dcterms:W3CDTF">2023-07-21T10:31:03Z</dcterms:created>
  <dcterms:modified xsi:type="dcterms:W3CDTF">2023-07-28T10:34:58Z</dcterms:modified>
</cp:coreProperties>
</file>